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💰 DAILY SALES" sheetId="1" state="visible" r:id="rId3"/>
    <sheet name="💸 DAILY EXPENSES" sheetId="2" state="visible" r:id="rId4"/>
    <sheet name="📋 QUICK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<sst xmlns="http://schemas.openxmlformats.org/spreadsheetml/2006/main" count="82" uniqueCount="80">
  <si>
    <t xml:space="preserve">ACETRUE TECHNOLOGIES — DAILY SALES LOG</t>
  </si>
  <si>
    <t xml:space="preserve">📌  Fill in every sale as it happens. Date → Product → Qty → Payment Method → Your Name.</t>
  </si>
  <si>
    <t xml:space="preserve">① Enter Date</t>
  </si>
  <si>
    <t xml:space="preserve">② Pick Product ▼</t>
  </si>
  <si>
    <t xml:space="preserve">③ Add Note (optional)</t>
  </si>
  <si>
    <t xml:space="preserve">④ Enter Qty</t>
  </si>
  <si>
    <t xml:space="preserve">⑤ Price auto-fills ✓</t>
  </si>
  <si>
    <t xml:space="preserve">⑥ Total auto-fills ✓</t>
  </si>
  <si>
    <t xml:space="preserve">⑦ Payment Method ▼</t>
  </si>
  <si>
    <t xml:space="preserve">⑧ Your Name</t>
  </si>
  <si>
    <t xml:space="preserve">#</t>
  </si>
  <si>
    <t xml:space="preserve">Date</t>
  </si>
  <si>
    <t xml:space="preserve">Product</t>
  </si>
  <si>
    <t xml:space="preserve">Variant/Note</t>
  </si>
  <si>
    <t xml:space="preserve">Qty
Sold</t>
  </si>
  <si>
    <t xml:space="preserve">Unit Price
(₦)</t>
  </si>
  <si>
    <t xml:space="preserve">TOTAL
(₦)</t>
  </si>
  <si>
    <t xml:space="preserve">Payment
Method</t>
  </si>
  <si>
    <t xml:space="preserve">Recorded By</t>
  </si>
  <si>
    <t xml:space="preserve">📊  END-OF-DAY TOTALS  (auto-calculated)</t>
  </si>
  <si>
    <t xml:space="preserve">💰 Total Revenue Today</t>
  </si>
  <si>
    <t xml:space="preserve">🛒 Total Items Sold Today</t>
  </si>
  <si>
    <t xml:space="preserve">💵 Cash Sales Today</t>
  </si>
  <si>
    <t xml:space="preserve">📲 POS Sales Today</t>
  </si>
  <si>
    <t xml:space="preserve">🏦 Transfer Sales Today</t>
  </si>
  <si>
    <t xml:space="preserve">📅 Total Revenue This Month</t>
  </si>
  <si>
    <t xml:space="preserve">📦 All-Time Total Revenue</t>
  </si>
  <si>
    <t xml:space="preserve">ACETRUE TECHNOLOGIES — DAILY EXPENSES</t>
  </si>
  <si>
    <t xml:space="preserve">📌  Log every expense as it happens — no matter how small. Date → Description → Category → Amount.</t>
  </si>
  <si>
    <t xml:space="preserve">Description (What was it for?)</t>
  </si>
  <si>
    <t xml:space="preserve">Category</t>
  </si>
  <si>
    <t xml:space="preserve">Amount (₦)</t>
  </si>
  <si>
    <t xml:space="preserve">Paid With</t>
  </si>
  <si>
    <t xml:space="preserve">Notes</t>
  </si>
  <si>
    <t xml:space="preserve">📊  EXPENSES TOTALS  (auto-calculated)</t>
  </si>
  <si>
    <t xml:space="preserve">💸 Total Expenses Today</t>
  </si>
  <si>
    <t xml:space="preserve">📅 Total Expenses This Month</t>
  </si>
  <si>
    <t xml:space="preserve">📦 All-Time Total Expenses</t>
  </si>
  <si>
    <t xml:space="preserve">📋  QUICK GUIDE FOR SALES STAFF — ACETRUE TECHNOLOGIES</t>
  </si>
  <si>
    <t xml:space="preserve">HOW TO LOG A SALE</t>
  </si>
  <si>
    <t xml:space="preserve">STEP-BY-STEP INSTRUCTIONS</t>
  </si>
  <si>
    <t xml:space="preserve">Step 1 — Go to the right sheet</t>
  </si>
  <si>
    <t xml:space="preserve">Click '💰 DAILY SALES' tab at the bottom of the screen.</t>
  </si>
  <si>
    <t xml:space="preserve">Step 2 — Find the next empty row</t>
  </si>
  <si>
    <t xml:space="preserve">Scroll down to the first row that has no data and start there.</t>
  </si>
  <si>
    <t xml:space="preserve">Step 3 — Enter the Date</t>
  </si>
  <si>
    <t xml:space="preserve">Click the Date cell and type today's date as: 08-Mar-2026. Or type =TODAY() to auto-fill today.</t>
  </si>
  <si>
    <t xml:space="preserve">Step 4 — Choose the Product</t>
  </si>
  <si>
    <t xml:space="preserve">Click the Product cell — a small arrow (▼) will appear. Click it and select the product from the list. DO NOT type it manually.</t>
  </si>
  <si>
    <t xml:space="preserve">Step 5 — Qty Sold</t>
  </si>
  <si>
    <t xml:space="preserve">Type how many units the customer bought. e.g. if they bought 2 chargers, type 2.</t>
  </si>
  <si>
    <t xml:space="preserve">Step 6 — Check Price &amp; Total</t>
  </si>
  <si>
    <t xml:space="preserve">The Unit Price and Total will fill in AUTOMATICALLY. You don't need to touch these cells.</t>
  </si>
  <si>
    <t xml:space="preserve">Step 7 — Payment Method</t>
  </si>
  <si>
    <t xml:space="preserve">Click the Payment Method cell (▼ arrow) and choose: Cash, POS, or Transfer.</t>
  </si>
  <si>
    <t xml:space="preserve">Step 8 — Your Name</t>
  </si>
  <si>
    <t xml:space="preserve">Type your name in the 'Recorded By' column so we know who logged each sale.</t>
  </si>
  <si>
    <t xml:space="preserve">HOW TO LOG AN EXPENSE</t>
  </si>
  <si>
    <t xml:space="preserve">Step 1</t>
  </si>
  <si>
    <t xml:space="preserve">Click the '💸 DAILY EXPENSES' tab at the bottom.</t>
  </si>
  <si>
    <t xml:space="preserve">Step 2</t>
  </si>
  <si>
    <t xml:space="preserve">Enter the date, a short description of what was bought/paid for.</t>
  </si>
  <si>
    <t xml:space="preserve">Step 3</t>
  </si>
  <si>
    <t xml:space="preserve">Click the Category dropdown (▼) and choose the closest matching category.</t>
  </si>
  <si>
    <t xml:space="preserve">Step 4</t>
  </si>
  <si>
    <t xml:space="preserve">Enter the amount spent in the Amount column.</t>
  </si>
  <si>
    <t xml:space="preserve">Step 5</t>
  </si>
  <si>
    <t xml:space="preserve">Choose how it was paid — Cash, Transfer, or POS.</t>
  </si>
  <si>
    <t xml:space="preserve">⚠️  IMPORTANT RULES</t>
  </si>
  <si>
    <t xml:space="preserve">PLEASE READ CAREFULLY</t>
  </si>
  <si>
    <t xml:space="preserve">Never delete rows</t>
  </si>
  <si>
    <t xml:space="preserve">If you make a mistake, leave the row and start a new one. Tell your manager about the error.</t>
  </si>
  <si>
    <t xml:space="preserve">Never edit green cells</t>
  </si>
  <si>
    <t xml:space="preserve">The green cells (Unit Price, Total) fill automatically — do not type in them.</t>
  </si>
  <si>
    <t xml:space="preserve">Log sales SAME DAY</t>
  </si>
  <si>
    <t xml:space="preserve">Always log a sale immediately or before you close for the day. Never leave it for the next day.</t>
  </si>
  <si>
    <t xml:space="preserve">All payments count</t>
  </si>
  <si>
    <t xml:space="preserve">Log every sale, whether cash, POS, or transfer. Your manager can see the breakdown.</t>
  </si>
  <si>
    <t xml:space="preserve">If a product is missing</t>
  </si>
  <si>
    <t xml:space="preserve">Tell your manager immediately if a product is not in the dropdown list.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</si>
</sst>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;\(#,##0\);\-"/>
    <numFmt numFmtId="167" formatCode="\₦#,##0;&quot;(₦&quot;#,##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1B3A5C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sz val="10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b val="true"/>
      <sz val="12"/>
      <color rgb="FF27AE60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EBF4FF"/>
        <bgColor rgb="FFF2F2F2"/>
      </patternFill>
    </fill>
    <fill>
      <patternFill patternType="solid">
        <fgColor rgb="FFFFF3CD"/>
        <bgColor rgb="FFF2F2F2"/>
      </patternFill>
    </fill>
    <fill>
      <patternFill patternType="solid">
        <fgColor rgb="FF1E8449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D5F5E3"/>
        <bgColor rgb="FFEBF4FF"/>
      </patternFill>
    </fill>
    <fill>
      <patternFill patternType="solid">
        <fgColor rgb="FFF2F2F2"/>
        <bgColor rgb="FFEBF4FF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FFF3CD"/>
      </patternFill>
    </fill>
    <fill>
      <patternFill patternType="solid">
        <fgColor rgb="FF27AE60"/>
        <bgColor rgb="FF1E844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FBFBF"/>
      <rgbColor rgb="FF808080"/>
      <rgbColor rgb="FF9999FF"/>
      <rgbColor rgb="FF993366"/>
      <rgbColor rgb="FFFFF3CD"/>
      <rgbColor rgb="FFEBF4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B3A5C"/>
      <rgbColor rgb="FF27AE60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B1:J5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10" min="9" style="0" width="18"/>
    <col collapsed="false" customWidth="true" hidden="false" outlineLevel="0" max="11" min="11" style="0" width="3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customFormat="false" ht="33.75" hidden="false" customHeight="true" outlineLevel="0" collapsed="false"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customFormat="false" ht="18.75" hidden="false" customHeight="true" outlineLevel="0" collapsed="false">
      <c r="B5" s="5" t="n">
        <v>1</v>
      </c>
      <c r="C5" s="6"/>
      <c r="D5" s="7"/>
      <c r="E5" s="8"/>
      <c r="F5" s="9"/>
      <c r="G5" s="10" t="str">
        <f aca="false">IF(D5="","",IF(D5="EarPods",1500,IF(D5="Button Phone",6000,IF(D5="Memory Card",1000,IF(D5="Charger",1200,IF(D5="Tripod Stand",4500,IF(D5="Selfie Stick",2500,IF(D5="Cables",800,IF(D5="Ringlight",8500,IF(D5="Speakers",5500,IF(D5="Wireless Mic",7000,IF(D5="Mouse",3200,IF(D5="Powerbanks",6000,IF(D5="Smartwatch",10000,""))))))))))))))</f>
        <v/>
      </c>
      <c r="H5" s="11" t="str">
        <f aca="false">IF(OR(F5="",G5=""),"",F5*G5)</f>
        <v/>
      </c>
      <c r="I5" s="12"/>
      <c r="J5" s="12"/>
    </row>
    <row r="6" customFormat="false" ht="18.75" hidden="false" customHeight="true" outlineLevel="0" collapsed="false">
      <c r="B6" s="13" t="n">
        <v>2</v>
      </c>
      <c r="C6" s="14"/>
      <c r="D6" s="15"/>
      <c r="E6" s="16"/>
      <c r="F6" s="17"/>
      <c r="G6" s="10" t="str">
        <f aca="false">IF(D6="","",IF(D6="EarPods",1500,IF(D6="Button Phone",6000,IF(D6="Memory Card",1000,IF(D6="Charger",1200,IF(D6="Tripod Stand",4500,IF(D6="Selfie Stick",2500,IF(D6="Cables",800,IF(D6="Ringlight",8500,IF(D6="Speakers",5500,IF(D6="Wireless Mic",7000,IF(D6="Mouse",3200,IF(D6="Powerbanks",6000,IF(D6="Smartwatch",10000,""))))))))))))))</f>
        <v/>
      </c>
      <c r="H6" s="11" t="str">
        <f aca="false">IF(OR(F6="",G6=""),"",F6*G6)</f>
        <v/>
      </c>
      <c r="I6" s="18"/>
      <c r="J6" s="18"/>
    </row>
    <row r="7" customFormat="false" ht="18.75" hidden="false" customHeight="true" outlineLevel="0" collapsed="false">
      <c r="B7" s="5" t="n">
        <v>3</v>
      </c>
      <c r="C7" s="6"/>
      <c r="D7" s="7"/>
      <c r="E7" s="8"/>
      <c r="F7" s="9"/>
      <c r="G7" s="10" t="str">
        <f aca="false">IF(D7="","",IF(D7="EarPods",1500,IF(D7="Button Phone",6000,IF(D7="Memory Card",1000,IF(D7="Charger",1200,IF(D7="Tripod Stand",4500,IF(D7="Selfie Stick",2500,IF(D7="Cables",800,IF(D7="Ringlight",8500,IF(D7="Speakers",5500,IF(D7="Wireless Mic",7000,IF(D7="Mouse",3200,IF(D7="Powerbanks",6000,IF(D7="Smartwatch",10000,""))))))))))))))</f>
        <v/>
      </c>
      <c r="H7" s="11" t="str">
        <f aca="false">IF(OR(F7="",G7=""),"",F7*G7)</f>
        <v/>
      </c>
      <c r="I7" s="12"/>
      <c r="J7" s="12"/>
    </row>
    <row r="8" customFormat="false" ht="18.75" hidden="false" customHeight="true" outlineLevel="0" collapsed="false">
      <c r="B8" s="13" t="n">
        <v>4</v>
      </c>
      <c r="C8" s="14"/>
      <c r="D8" s="15"/>
      <c r="E8" s="16"/>
      <c r="F8" s="17"/>
      <c r="G8" s="10" t="str">
        <f aca="false">IF(D8="","",IF(D8="EarPods",1500,IF(D8="Button Phone",6000,IF(D8="Memory Card",1000,IF(D8="Charger",1200,IF(D8="Tripod Stand",4500,IF(D8="Selfie Stick",2500,IF(D8="Cables",800,IF(D8="Ringlight",8500,IF(D8="Speakers",5500,IF(D8="Wireless Mic",7000,IF(D8="Mouse",3200,IF(D8="Powerbanks",6000,IF(D8="Smartwatch",10000,""))))))))))))))</f>
        <v/>
      </c>
      <c r="H8" s="11" t="str">
        <f aca="false">IF(OR(F8="",G8=""),"",F8*G8)</f>
        <v/>
      </c>
      <c r="I8" s="18"/>
      <c r="J8" s="18"/>
    </row>
    <row r="9" customFormat="false" ht="18.75" hidden="false" customHeight="true" outlineLevel="0" collapsed="false">
      <c r="B9" s="5" t="n">
        <v>5</v>
      </c>
      <c r="C9" s="6"/>
      <c r="D9" s="7"/>
      <c r="E9" s="8"/>
      <c r="F9" s="9"/>
      <c r="G9" s="10" t="str">
        <f aca="false">IF(D9="","",IF(D9="EarPods",1500,IF(D9="Button Phone",6000,IF(D9="Memory Card",1000,IF(D9="Charger",1200,IF(D9="Tripod Stand",4500,IF(D9="Selfie Stick",2500,IF(D9="Cables",800,IF(D9="Ringlight",8500,IF(D9="Speakers",5500,IF(D9="Wireless Mic",7000,IF(D9="Mouse",3200,IF(D9="Powerbanks",6000,IF(D9="Smartwatch",10000,""))))))))))))))</f>
        <v/>
      </c>
      <c r="H9" s="11" t="str">
        <f aca="false">IF(OR(F9="",G9=""),"",F9*G9)</f>
        <v/>
      </c>
      <c r="I9" s="12"/>
      <c r="J9" s="12"/>
    </row>
    <row r="10" customFormat="false" ht="18.75" hidden="false" customHeight="true" outlineLevel="0" collapsed="false">
      <c r="B10" s="13" t="n">
        <v>6</v>
      </c>
      <c r="C10" s="14"/>
      <c r="D10" s="15"/>
      <c r="E10" s="16"/>
      <c r="F10" s="17"/>
      <c r="G10" s="10" t="str">
        <f aca="false">IF(D10="","",IF(D10="EarPods",1500,IF(D10="Button Phone",6000,IF(D10="Memory Card",1000,IF(D10="Charger",1200,IF(D10="Tripod Stand",4500,IF(D10="Selfie Stick",2500,IF(D10="Cables",800,IF(D10="Ringlight",8500,IF(D10="Speakers",5500,IF(D10="Wireless Mic",7000,IF(D10="Mouse",3200,IF(D10="Powerbanks",6000,IF(D10="Smartwatch",10000,""))))))))))))))</f>
        <v/>
      </c>
      <c r="H10" s="11" t="str">
        <f aca="false">IF(OR(F10="",G10=""),"",F10*G10)</f>
        <v/>
      </c>
      <c r="I10" s="18"/>
      <c r="J10" s="18"/>
    </row>
    <row r="11" customFormat="false" ht="18.75" hidden="false" customHeight="true" outlineLevel="0" collapsed="false">
      <c r="B11" s="5" t="n">
        <v>7</v>
      </c>
      <c r="C11" s="6"/>
      <c r="D11" s="7"/>
      <c r="E11" s="8"/>
      <c r="F11" s="9"/>
      <c r="G11" s="10" t="str">
        <f aca="false">IF(D11="","",IF(D11="EarPods",1500,IF(D11="Button Phone",6000,IF(D11="Memory Card",1000,IF(D11="Charger",1200,IF(D11="Tripod Stand",4500,IF(D11="Selfie Stick",2500,IF(D11="Cables",800,IF(D11="Ringlight",8500,IF(D11="Speakers",5500,IF(D11="Wireless Mic",7000,IF(D11="Mouse",3200,IF(D11="Powerbanks",6000,IF(D11="Smartwatch",10000,""))))))))))))))</f>
        <v/>
      </c>
      <c r="H11" s="11" t="str">
        <f aca="false">IF(OR(F11="",G11=""),"",F11*G11)</f>
        <v/>
      </c>
      <c r="I11" s="12"/>
      <c r="J11" s="12"/>
    </row>
    <row r="12" customFormat="false" ht="18.75" hidden="false" customHeight="true" outlineLevel="0" collapsed="false">
      <c r="B12" s="13" t="n">
        <v>8</v>
      </c>
      <c r="C12" s="14"/>
      <c r="D12" s="15"/>
      <c r="E12" s="16"/>
      <c r="F12" s="17"/>
      <c r="G12" s="10" t="str">
        <f aca="false">IF(D12="","",IF(D12="EarPods",1500,IF(D12="Button Phone",6000,IF(D12="Memory Card",1000,IF(D12="Charger",1200,IF(D12="Tripod Stand",4500,IF(D12="Selfie Stick",2500,IF(D12="Cables",800,IF(D12="Ringlight",8500,IF(D12="Speakers",5500,IF(D12="Wireless Mic",7000,IF(D12="Mouse",3200,IF(D12="Powerbanks",6000,IF(D12="Smartwatch",10000,""))))))))))))))</f>
        <v/>
      </c>
      <c r="H12" s="11" t="str">
        <f aca="false">IF(OR(F12="",G12=""),"",F12*G12)</f>
        <v/>
      </c>
      <c r="I12" s="18"/>
      <c r="J12" s="18"/>
    </row>
    <row r="13" customFormat="false" ht="18.75" hidden="false" customHeight="true" outlineLevel="0" collapsed="false">
      <c r="B13" s="5" t="n">
        <v>9</v>
      </c>
      <c r="C13" s="6"/>
      <c r="D13" s="7"/>
      <c r="E13" s="8"/>
      <c r="F13" s="9"/>
      <c r="G13" s="10" t="str">
        <f aca="false">IF(D13="","",IF(D13="EarPods",1500,IF(D13="Button Phone",6000,IF(D13="Memory Card",1000,IF(D13="Charger",1200,IF(D13="Tripod Stand",4500,IF(D13="Selfie Stick",2500,IF(D13="Cables",800,IF(D13="Ringlight",8500,IF(D13="Speakers",5500,IF(D13="Wireless Mic",7000,IF(D13="Mouse",3200,IF(D13="Powerbanks",6000,IF(D13="Smartwatch",10000,""))))))))))))))</f>
        <v/>
      </c>
      <c r="H13" s="11" t="str">
        <f aca="false">IF(OR(F13="",G13=""),"",F13*G13)</f>
        <v/>
      </c>
      <c r="I13" s="12"/>
      <c r="J13" s="12"/>
    </row>
    <row r="14" customFormat="false" ht="18.75" hidden="false" customHeight="true" outlineLevel="0" collapsed="false">
      <c r="B14" s="13" t="n">
        <v>10</v>
      </c>
      <c r="C14" s="14"/>
      <c r="D14" s="15"/>
      <c r="E14" s="16"/>
      <c r="F14" s="17"/>
      <c r="G14" s="10" t="str">
        <f aca="false">IF(D14="","",IF(D14="EarPods",1500,IF(D14="Button Phone",6000,IF(D14="Memory Card",1000,IF(D14="Charger",1200,IF(D14="Tripod Stand",4500,IF(D14="Selfie Stick",2500,IF(D14="Cables",800,IF(D14="Ringlight",8500,IF(D14="Speakers",5500,IF(D14="Wireless Mic",7000,IF(D14="Mouse",3200,IF(D14="Powerbanks",6000,IF(D14="Smartwatch",10000,""))))))))))))))</f>
        <v/>
      </c>
      <c r="H14" s="11" t="str">
        <f aca="false">IF(OR(F14="",G14=""),"",F14*G14)</f>
        <v/>
      </c>
      <c r="I14" s="18"/>
      <c r="J14" s="18"/>
    </row>
    <row r="15" customFormat="false" ht="18.75" hidden="false" customHeight="true" outlineLevel="0" collapsed="false">
      <c r="B15" s="5" t="n">
        <v>11</v>
      </c>
      <c r="C15" s="6"/>
      <c r="D15" s="7"/>
      <c r="E15" s="8"/>
      <c r="F15" s="9"/>
      <c r="G15" s="10" t="str">
        <f aca="false">IF(D15="","",IF(D15="EarPods",1500,IF(D15="Button Phone",6000,IF(D15="Memory Card",1000,IF(D15="Charger",1200,IF(D15="Tripod Stand",4500,IF(D15="Selfie Stick",2500,IF(D15="Cables",800,IF(D15="Ringlight",8500,IF(D15="Speakers",5500,IF(D15="Wireless Mic",7000,IF(D15="Mouse",3200,IF(D15="Powerbanks",6000,IF(D15="Smartwatch",10000,""))))))))))))))</f>
        <v/>
      </c>
      <c r="H15" s="11" t="str">
        <f aca="false">IF(OR(F15="",G15=""),"",F15*G15)</f>
        <v/>
      </c>
      <c r="I15" s="12"/>
      <c r="J15" s="12"/>
    </row>
    <row r="16" customFormat="false" ht="18.75" hidden="false" customHeight="true" outlineLevel="0" collapsed="false">
      <c r="B16" s="13" t="n">
        <v>12</v>
      </c>
      <c r="C16" s="14"/>
      <c r="D16" s="15"/>
      <c r="E16" s="16"/>
      <c r="F16" s="17"/>
      <c r="G16" s="10" t="str">
        <f aca="false">IF(D16="","",IF(D16="EarPods",1500,IF(D16="Button Phone",6000,IF(D16="Memory Card",1000,IF(D16="Charger",1200,IF(D16="Tripod Stand",4500,IF(D16="Selfie Stick",2500,IF(D16="Cables",800,IF(D16="Ringlight",8500,IF(D16="Speakers",5500,IF(D16="Wireless Mic",7000,IF(D16="Mouse",3200,IF(D16="Powerbanks",6000,IF(D16="Smartwatch",10000,""))))))))))))))</f>
        <v/>
      </c>
      <c r="H16" s="11" t="str">
        <f aca="false">IF(OR(F16="",G16=""),"",F16*G16)</f>
        <v/>
      </c>
      <c r="I16" s="18"/>
      <c r="J16" s="18"/>
    </row>
    <row r="17" customFormat="false" ht="18.75" hidden="false" customHeight="true" outlineLevel="0" collapsed="false">
      <c r="B17" s="5" t="n">
        <v>13</v>
      </c>
      <c r="C17" s="6"/>
      <c r="D17" s="7"/>
      <c r="E17" s="8"/>
      <c r="F17" s="9"/>
      <c r="G17" s="10" t="str">
        <f aca="false">IF(D17="","",IF(D17="EarPods",1500,IF(D17="Button Phone",6000,IF(D17="Memory Card",1000,IF(D17="Charger",1200,IF(D17="Tripod Stand",4500,IF(D17="Selfie Stick",2500,IF(D17="Cables",800,IF(D17="Ringlight",8500,IF(D17="Speakers",5500,IF(D17="Wireless Mic",7000,IF(D17="Mouse",3200,IF(D17="Powerbanks",6000,IF(D17="Smartwatch",10000,""))))))))))))))</f>
        <v/>
      </c>
      <c r="H17" s="11" t="str">
        <f aca="false">IF(OR(F17="",G17=""),"",F17*G17)</f>
        <v/>
      </c>
      <c r="I17" s="12"/>
      <c r="J17" s="12"/>
    </row>
    <row r="18" customFormat="false" ht="18.75" hidden="false" customHeight="true" outlineLevel="0" collapsed="false">
      <c r="B18" s="13" t="n">
        <v>14</v>
      </c>
      <c r="C18" s="14"/>
      <c r="D18" s="15"/>
      <c r="E18" s="16"/>
      <c r="F18" s="17"/>
      <c r="G18" s="10" t="str">
        <f aca="false">IF(D18="","",IF(D18="EarPods",1500,IF(D18="Button Phone",6000,IF(D18="Memory Card",1000,IF(D18="Charger",1200,IF(D18="Tripod Stand",4500,IF(D18="Selfie Stick",2500,IF(D18="Cables",800,IF(D18="Ringlight",8500,IF(D18="Speakers",5500,IF(D18="Wireless Mic",7000,IF(D18="Mouse",3200,IF(D18="Powerbanks",6000,IF(D18="Smartwatch",10000,""))))))))))))))</f>
        <v/>
      </c>
      <c r="H18" s="11" t="str">
        <f aca="false">IF(OR(F18="",G18=""),"",F18*G18)</f>
        <v/>
      </c>
      <c r="I18" s="18"/>
      <c r="J18" s="18"/>
    </row>
    <row r="19" customFormat="false" ht="18.75" hidden="false" customHeight="true" outlineLevel="0" collapsed="false">
      <c r="B19" s="5" t="n">
        <v>15</v>
      </c>
      <c r="C19" s="6"/>
      <c r="D19" s="7"/>
      <c r="E19" s="8"/>
      <c r="F19" s="9"/>
      <c r="G19" s="10" t="str">
        <f aca="false">IF(D19="","",IF(D19="EarPods",1500,IF(D19="Button Phone",6000,IF(D19="Memory Card",1000,IF(D19="Charger",1200,IF(D19="Tripod Stand",4500,IF(D19="Selfie Stick",2500,IF(D19="Cables",800,IF(D19="Ringlight",8500,IF(D19="Speakers",5500,IF(D19="Wireless Mic",7000,IF(D19="Mouse",3200,IF(D19="Powerbanks",6000,IF(D19="Smartwatch",10000,""))))))))))))))</f>
        <v/>
      </c>
      <c r="H19" s="11" t="str">
        <f aca="false">IF(OR(F19="",G19=""),"",F19*G19)</f>
        <v/>
      </c>
      <c r="I19" s="12"/>
      <c r="J19" s="12"/>
    </row>
    <row r="20" customFormat="false" ht="18.75" hidden="false" customHeight="true" outlineLevel="0" collapsed="false">
      <c r="B20" s="13" t="n">
        <v>16</v>
      </c>
      <c r="C20" s="14"/>
      <c r="D20" s="15"/>
      <c r="E20" s="16"/>
      <c r="F20" s="17"/>
      <c r="G20" s="10" t="str">
        <f aca="false">IF(D20="","",IF(D20="EarPods",1500,IF(D20="Button Phone",6000,IF(D20="Memory Card",1000,IF(D20="Charger",1200,IF(D20="Tripod Stand",4500,IF(D20="Selfie Stick",2500,IF(D20="Cables",800,IF(D20="Ringlight",8500,IF(D20="Speakers",5500,IF(D20="Wireless Mic",7000,IF(D20="Mouse",3200,IF(D20="Powerbanks",6000,IF(D20="Smartwatch",10000,""))))))))))))))</f>
        <v/>
      </c>
      <c r="H20" s="11" t="str">
        <f aca="false">IF(OR(F20="",G20=""),"",F20*G20)</f>
        <v/>
      </c>
      <c r="I20" s="18"/>
      <c r="J20" s="18"/>
    </row>
    <row r="21" customFormat="false" ht="18.75" hidden="false" customHeight="true" outlineLevel="0" collapsed="false">
      <c r="B21" s="5" t="n">
        <v>17</v>
      </c>
      <c r="C21" s="6"/>
      <c r="D21" s="7"/>
      <c r="E21" s="8"/>
      <c r="F21" s="9"/>
      <c r="G21" s="10" t="str">
        <f aca="false">IF(D21="","",IF(D21="EarPods",1500,IF(D21="Button Phone",6000,IF(D21="Memory Card",1000,IF(D21="Charger",1200,IF(D21="Tripod Stand",4500,IF(D21="Selfie Stick",2500,IF(D21="Cables",800,IF(D21="Ringlight",8500,IF(D21="Speakers",5500,IF(D21="Wireless Mic",7000,IF(D21="Mouse",3200,IF(D21="Powerbanks",6000,IF(D21="Smartwatch",10000,""))))))))))))))</f>
        <v/>
      </c>
      <c r="H21" s="11" t="str">
        <f aca="false">IF(OR(F21="",G21=""),"",F21*G21)</f>
        <v/>
      </c>
      <c r="I21" s="12"/>
      <c r="J21" s="12"/>
    </row>
    <row r="22" customFormat="false" ht="18.75" hidden="false" customHeight="true" outlineLevel="0" collapsed="false">
      <c r="B22" s="13" t="n">
        <v>18</v>
      </c>
      <c r="C22" s="14"/>
      <c r="D22" s="15"/>
      <c r="E22" s="16"/>
      <c r="F22" s="17"/>
      <c r="G22" s="10" t="str">
        <f aca="false">IF(D22="","",IF(D22="EarPods",1500,IF(D22="Button Phone",6000,IF(D22="Memory Card",1000,IF(D22="Charger",1200,IF(D22="Tripod Stand",4500,IF(D22="Selfie Stick",2500,IF(D22="Cables",800,IF(D22="Ringlight",8500,IF(D22="Speakers",5500,IF(D22="Wireless Mic",7000,IF(D22="Mouse",3200,IF(D22="Powerbanks",6000,IF(D22="Smartwatch",10000,""))))))))))))))</f>
        <v/>
      </c>
      <c r="H22" s="11" t="str">
        <f aca="false">IF(OR(F22="",G22=""),"",F22*G22)</f>
        <v/>
      </c>
      <c r="I22" s="18"/>
      <c r="J22" s="18"/>
    </row>
    <row r="23" customFormat="false" ht="18.75" hidden="false" customHeight="true" outlineLevel="0" collapsed="false">
      <c r="B23" s="5" t="n">
        <v>19</v>
      </c>
      <c r="C23" s="6"/>
      <c r="D23" s="7"/>
      <c r="E23" s="8"/>
      <c r="F23" s="9"/>
      <c r="G23" s="10" t="str">
        <f aca="false">IF(D23="","",IF(D23="EarPods",1500,IF(D23="Button Phone",6000,IF(D23="Memory Card",1000,IF(D23="Charger",1200,IF(D23="Tripod Stand",4500,IF(D23="Selfie Stick",2500,IF(D23="Cables",800,IF(D23="Ringlight",8500,IF(D23="Speakers",5500,IF(D23="Wireless Mic",7000,IF(D23="Mouse",3200,IF(D23="Powerbanks",6000,IF(D23="Smartwatch",10000,""))))))))))))))</f>
        <v/>
      </c>
      <c r="H23" s="11" t="str">
        <f aca="false">IF(OR(F23="",G23=""),"",F23*G23)</f>
        <v/>
      </c>
      <c r="I23" s="12"/>
      <c r="J23" s="12"/>
    </row>
    <row r="24" customFormat="false" ht="18.75" hidden="false" customHeight="true" outlineLevel="0" collapsed="false">
      <c r="B24" s="13" t="n">
        <v>20</v>
      </c>
      <c r="C24" s="14"/>
      <c r="D24" s="15"/>
      <c r="E24" s="16"/>
      <c r="F24" s="17"/>
      <c r="G24" s="10" t="str">
        <f aca="false">IF(D24="","",IF(D24="EarPods",1500,IF(D24="Button Phone",6000,IF(D24="Memory Card",1000,IF(D24="Charger",1200,IF(D24="Tripod Stand",4500,IF(D24="Selfie Stick",2500,IF(D24="Cables",800,IF(D24="Ringlight",8500,IF(D24="Speakers",5500,IF(D24="Wireless Mic",7000,IF(D24="Mouse",3200,IF(D24="Powerbanks",6000,IF(D24="Smartwatch",10000,""))))))))))))))</f>
        <v/>
      </c>
      <c r="H24" s="11" t="str">
        <f aca="false">IF(OR(F24="",G24=""),"",F24*G24)</f>
        <v/>
      </c>
      <c r="I24" s="18"/>
      <c r="J24" s="18"/>
    </row>
    <row r="25" customFormat="false" ht="18.75" hidden="false" customHeight="true" outlineLevel="0" collapsed="false">
      <c r="B25" s="5" t="n">
        <v>21</v>
      </c>
      <c r="C25" s="6"/>
      <c r="D25" s="7"/>
      <c r="E25" s="8"/>
      <c r="F25" s="9"/>
      <c r="G25" s="10" t="str">
        <f aca="false">IF(D25="","",IF(D25="EarPods",1500,IF(D25="Button Phone",6000,IF(D25="Memory Card",1000,IF(D25="Charger",1200,IF(D25="Tripod Stand",4500,IF(D25="Selfie Stick",2500,IF(D25="Cables",800,IF(D25="Ringlight",8500,IF(D25="Speakers",5500,IF(D25="Wireless Mic",7000,IF(D25="Mouse",3200,IF(D25="Powerbanks",6000,IF(D25="Smartwatch",10000,""))))))))))))))</f>
        <v/>
      </c>
      <c r="H25" s="11" t="str">
        <f aca="false">IF(OR(F25="",G25=""),"",F25*G25)</f>
        <v/>
      </c>
      <c r="I25" s="12"/>
      <c r="J25" s="12"/>
    </row>
    <row r="26" customFormat="false" ht="18.75" hidden="false" customHeight="true" outlineLevel="0" collapsed="false">
      <c r="B26" s="13" t="n">
        <v>22</v>
      </c>
      <c r="C26" s="14"/>
      <c r="D26" s="15"/>
      <c r="E26" s="16"/>
      <c r="F26" s="17"/>
      <c r="G26" s="10" t="str">
        <f aca="false">IF(D26="","",IF(D26="EarPods",1500,IF(D26="Button Phone",6000,IF(D26="Memory Card",1000,IF(D26="Charger",1200,IF(D26="Tripod Stand",4500,IF(D26="Selfie Stick",2500,IF(D26="Cables",800,IF(D26="Ringlight",8500,IF(D26="Speakers",5500,IF(D26="Wireless Mic",7000,IF(D26="Mouse",3200,IF(D26="Powerbanks",6000,IF(D26="Smartwatch",10000,""))))))))))))))</f>
        <v/>
      </c>
      <c r="H26" s="11" t="str">
        <f aca="false">IF(OR(F26="",G26=""),"",F26*G26)</f>
        <v/>
      </c>
      <c r="I26" s="18"/>
      <c r="J26" s="18"/>
    </row>
    <row r="27" customFormat="false" ht="18.75" hidden="false" customHeight="true" outlineLevel="0" collapsed="false">
      <c r="B27" s="5" t="n">
        <v>23</v>
      </c>
      <c r="C27" s="6"/>
      <c r="D27" s="7"/>
      <c r="E27" s="8"/>
      <c r="F27" s="9"/>
      <c r="G27" s="10" t="str">
        <f aca="false">IF(D27="","",IF(D27="EarPods",1500,IF(D27="Button Phone",6000,IF(D27="Memory Card",1000,IF(D27="Charger",1200,IF(D27="Tripod Stand",4500,IF(D27="Selfie Stick",2500,IF(D27="Cables",800,IF(D27="Ringlight",8500,IF(D27="Speakers",5500,IF(D27="Wireless Mic",7000,IF(D27="Mouse",3200,IF(D27="Powerbanks",6000,IF(D27="Smartwatch",10000,""))))))))))))))</f>
        <v/>
      </c>
      <c r="H27" s="11" t="str">
        <f aca="false">IF(OR(F27="",G27=""),"",F27*G27)</f>
        <v/>
      </c>
      <c r="I27" s="12"/>
      <c r="J27" s="12"/>
    </row>
    <row r="28" customFormat="false" ht="18.75" hidden="false" customHeight="true" outlineLevel="0" collapsed="false">
      <c r="B28" s="13" t="n">
        <v>24</v>
      </c>
      <c r="C28" s="14"/>
      <c r="D28" s="15"/>
      <c r="E28" s="16"/>
      <c r="F28" s="17"/>
      <c r="G28" s="10" t="str">
        <f aca="false">IF(D28="","",IF(D28="EarPods",1500,IF(D28="Button Phone",6000,IF(D28="Memory Card",1000,IF(D28="Charger",1200,IF(D28="Tripod Stand",4500,IF(D28="Selfie Stick",2500,IF(D28="Cables",800,IF(D28="Ringlight",8500,IF(D28="Speakers",5500,IF(D28="Wireless Mic",7000,IF(D28="Mouse",3200,IF(D28="Powerbanks",6000,IF(D28="Smartwatch",10000,""))))))))))))))</f>
        <v/>
      </c>
      <c r="H28" s="11" t="str">
        <f aca="false">IF(OR(F28="",G28=""),"",F28*G28)</f>
        <v/>
      </c>
      <c r="I28" s="18"/>
      <c r="J28" s="18"/>
    </row>
    <row r="29" customFormat="false" ht="18.75" hidden="false" customHeight="true" outlineLevel="0" collapsed="false">
      <c r="B29" s="5" t="n">
        <v>25</v>
      </c>
      <c r="C29" s="6"/>
      <c r="D29" s="7"/>
      <c r="E29" s="8"/>
      <c r="F29" s="9"/>
      <c r="G29" s="10" t="str">
        <f aca="false">IF(D29="","",IF(D29="EarPods",1500,IF(D29="Button Phone",6000,IF(D29="Memory Card",1000,IF(D29="Charger",1200,IF(D29="Tripod Stand",4500,IF(D29="Selfie Stick",2500,IF(D29="Cables",800,IF(D29="Ringlight",8500,IF(D29="Speakers",5500,IF(D29="Wireless Mic",7000,IF(D29="Mouse",3200,IF(D29="Powerbanks",6000,IF(D29="Smartwatch",10000,""))))))))))))))</f>
        <v/>
      </c>
      <c r="H29" s="11" t="str">
        <f aca="false">IF(OR(F29="",G29=""),"",F29*G29)</f>
        <v/>
      </c>
      <c r="I29" s="12"/>
      <c r="J29" s="12"/>
    </row>
    <row r="30" customFormat="false" ht="18.75" hidden="false" customHeight="true" outlineLevel="0" collapsed="false">
      <c r="B30" s="13" t="n">
        <v>26</v>
      </c>
      <c r="C30" s="14"/>
      <c r="D30" s="15"/>
      <c r="E30" s="16"/>
      <c r="F30" s="17"/>
      <c r="G30" s="10" t="str">
        <f aca="false">IF(D30="","",IF(D30="EarPods",1500,IF(D30="Button Phone",6000,IF(D30="Memory Card",1000,IF(D30="Charger",1200,IF(D30="Tripod Stand",4500,IF(D30="Selfie Stick",2500,IF(D30="Cables",800,IF(D30="Ringlight",8500,IF(D30="Speakers",5500,IF(D30="Wireless Mic",7000,IF(D30="Mouse",3200,IF(D30="Powerbanks",6000,IF(D30="Smartwatch",10000,""))))))))))))))</f>
        <v/>
      </c>
      <c r="H30" s="11" t="str">
        <f aca="false">IF(OR(F30="",G30=""),"",F30*G30)</f>
        <v/>
      </c>
      <c r="I30" s="18"/>
      <c r="J30" s="18"/>
    </row>
    <row r="31" customFormat="false" ht="18.75" hidden="false" customHeight="true" outlineLevel="0" collapsed="false">
      <c r="B31" s="5" t="n">
        <v>27</v>
      </c>
      <c r="C31" s="6"/>
      <c r="D31" s="7"/>
      <c r="E31" s="8"/>
      <c r="F31" s="9"/>
      <c r="G31" s="10" t="str">
        <f aca="false">IF(D31="","",IF(D31="EarPods",1500,IF(D31="Button Phone",6000,IF(D31="Memory Card",1000,IF(D31="Charger",1200,IF(D31="Tripod Stand",4500,IF(D31="Selfie Stick",2500,IF(D31="Cables",800,IF(D31="Ringlight",8500,IF(D31="Speakers",5500,IF(D31="Wireless Mic",7000,IF(D31="Mouse",3200,IF(D31="Powerbanks",6000,IF(D31="Smartwatch",10000,""))))))))))))))</f>
        <v/>
      </c>
      <c r="H31" s="11" t="str">
        <f aca="false">IF(OR(F31="",G31=""),"",F31*G31)</f>
        <v/>
      </c>
      <c r="I31" s="12"/>
      <c r="J31" s="12"/>
    </row>
    <row r="32" customFormat="false" ht="18.75" hidden="false" customHeight="true" outlineLevel="0" collapsed="false">
      <c r="B32" s="13" t="n">
        <v>28</v>
      </c>
      <c r="C32" s="14"/>
      <c r="D32" s="15"/>
      <c r="E32" s="16"/>
      <c r="F32" s="17"/>
      <c r="G32" s="10" t="str">
        <f aca="false">IF(D32="","",IF(D32="EarPods",1500,IF(D32="Button Phone",6000,IF(D32="Memory Card",1000,IF(D32="Charger",1200,IF(D32="Tripod Stand",4500,IF(D32="Selfie Stick",2500,IF(D32="Cables",800,IF(D32="Ringlight",8500,IF(D32="Speakers",5500,IF(D32="Wireless Mic",7000,IF(D32="Mouse",3200,IF(D32="Powerbanks",6000,IF(D32="Smartwatch",10000,""))))))))))))))</f>
        <v/>
      </c>
      <c r="H32" s="11" t="str">
        <f aca="false">IF(OR(F32="",G32=""),"",F32*G32)</f>
        <v/>
      </c>
      <c r="I32" s="18"/>
      <c r="J32" s="18"/>
    </row>
    <row r="33" customFormat="false" ht="18.75" hidden="false" customHeight="true" outlineLevel="0" collapsed="false">
      <c r="B33" s="5" t="n">
        <v>29</v>
      </c>
      <c r="C33" s="6"/>
      <c r="D33" s="7"/>
      <c r="E33" s="8"/>
      <c r="F33" s="9"/>
      <c r="G33" s="10" t="str">
        <f aca="false">IF(D33="","",IF(D33="EarPods",1500,IF(D33="Button Phone",6000,IF(D33="Memory Card",1000,IF(D33="Charger",1200,IF(D33="Tripod Stand",4500,IF(D33="Selfie Stick",2500,IF(D33="Cables",800,IF(D33="Ringlight",8500,IF(D33="Speakers",5500,IF(D33="Wireless Mic",7000,IF(D33="Mouse",3200,IF(D33="Powerbanks",6000,IF(D33="Smartwatch",10000,""))))))))))))))</f>
        <v/>
      </c>
      <c r="H33" s="11" t="str">
        <f aca="false">IF(OR(F33="",G33=""),"",F33*G33)</f>
        <v/>
      </c>
      <c r="I33" s="12"/>
      <c r="J33" s="12"/>
    </row>
    <row r="34" customFormat="false" ht="18.75" hidden="false" customHeight="true" outlineLevel="0" collapsed="false">
      <c r="B34" s="13" t="n">
        <v>30</v>
      </c>
      <c r="C34" s="14"/>
      <c r="D34" s="15"/>
      <c r="E34" s="16"/>
      <c r="F34" s="17"/>
      <c r="G34" s="10" t="str">
        <f aca="false">IF(D34="","",IF(D34="EarPods",1500,IF(D34="Button Phone",6000,IF(D34="Memory Card",1000,IF(D34="Charger",1200,IF(D34="Tripod Stand",4500,IF(D34="Selfie Stick",2500,IF(D34="Cables",800,IF(D34="Ringlight",8500,IF(D34="Speakers",5500,IF(D34="Wireless Mic",7000,IF(D34="Mouse",3200,IF(D34="Powerbanks",6000,IF(D34="Smartwatch",10000,""))))))))))))))</f>
        <v/>
      </c>
      <c r="H34" s="11" t="str">
        <f aca="false">IF(OR(F34="",G34=""),"",F34*G34)</f>
        <v/>
      </c>
      <c r="I34" s="18"/>
      <c r="J34" s="18"/>
    </row>
    <row r="35" customFormat="false" ht="18.75" hidden="false" customHeight="true" outlineLevel="0" collapsed="false">
      <c r="B35" s="5" t="n">
        <v>31</v>
      </c>
      <c r="C35" s="6"/>
      <c r="D35" s="7"/>
      <c r="E35" s="8"/>
      <c r="F35" s="9"/>
      <c r="G35" s="10" t="str">
        <f aca="false">IF(D35="","",IF(D35="EarPods",1500,IF(D35="Button Phone",6000,IF(D35="Memory Card",1000,IF(D35="Charger",1200,IF(D35="Tripod Stand",4500,IF(D35="Selfie Stick",2500,IF(D35="Cables",800,IF(D35="Ringlight",8500,IF(D35="Speakers",5500,IF(D35="Wireless Mic",7000,IF(D35="Mouse",3200,IF(D35="Powerbanks",6000,IF(D35="Smartwatch",10000,""))))))))))))))</f>
        <v/>
      </c>
      <c r="H35" s="11" t="str">
        <f aca="false">IF(OR(F35="",G35=""),"",F35*G35)</f>
        <v/>
      </c>
      <c r="I35" s="12"/>
      <c r="J35" s="12"/>
    </row>
    <row r="36" customFormat="false" ht="18.75" hidden="false" customHeight="true" outlineLevel="0" collapsed="false">
      <c r="B36" s="13" t="n">
        <v>32</v>
      </c>
      <c r="C36" s="14"/>
      <c r="D36" s="15"/>
      <c r="E36" s="16"/>
      <c r="F36" s="17"/>
      <c r="G36" s="10" t="str">
        <f aca="false">IF(D36="","",IF(D36="EarPods",1500,IF(D36="Button Phone",6000,IF(D36="Memory Card",1000,IF(D36="Charger",1200,IF(D36="Tripod Stand",4500,IF(D36="Selfie Stick",2500,IF(D36="Cables",800,IF(D36="Ringlight",8500,IF(D36="Speakers",5500,IF(D36="Wireless Mic",7000,IF(D36="Mouse",3200,IF(D36="Powerbanks",6000,IF(D36="Smartwatch",10000,""))))))))))))))</f>
        <v/>
      </c>
      <c r="H36" s="11" t="str">
        <f aca="false">IF(OR(F36="",G36=""),"",F36*G36)</f>
        <v/>
      </c>
      <c r="I36" s="18"/>
      <c r="J36" s="18"/>
    </row>
    <row r="37" customFormat="false" ht="18.75" hidden="false" customHeight="true" outlineLevel="0" collapsed="false">
      <c r="B37" s="5" t="n">
        <v>33</v>
      </c>
      <c r="C37" s="6"/>
      <c r="D37" s="7"/>
      <c r="E37" s="8"/>
      <c r="F37" s="9"/>
      <c r="G37" s="10" t="str">
        <f aca="false">IF(D37="","",IF(D37="EarPods",1500,IF(D37="Button Phone",6000,IF(D37="Memory Card",1000,IF(D37="Charger",1200,IF(D37="Tripod Stand",4500,IF(D37="Selfie Stick",2500,IF(D37="Cables",800,IF(D37="Ringlight",8500,IF(D37="Speakers",5500,IF(D37="Wireless Mic",7000,IF(D37="Mouse",3200,IF(D37="Powerbanks",6000,IF(D37="Smartwatch",10000,""))))))))))))))</f>
        <v/>
      </c>
      <c r="H37" s="11" t="str">
        <f aca="false">IF(OR(F37="",G37=""),"",F37*G37)</f>
        <v/>
      </c>
      <c r="I37" s="12"/>
      <c r="J37" s="12"/>
    </row>
    <row r="38" customFormat="false" ht="18.75" hidden="false" customHeight="true" outlineLevel="0" collapsed="false">
      <c r="B38" s="13" t="n">
        <v>34</v>
      </c>
      <c r="C38" s="14"/>
      <c r="D38" s="15"/>
      <c r="E38" s="16"/>
      <c r="F38" s="17"/>
      <c r="G38" s="10" t="str">
        <f aca="false">IF(D38="","",IF(D38="EarPods",1500,IF(D38="Button Phone",6000,IF(D38="Memory Card",1000,IF(D38="Charger",1200,IF(D38="Tripod Stand",4500,IF(D38="Selfie Stick",2500,IF(D38="Cables",800,IF(D38="Ringlight",8500,IF(D38="Speakers",5500,IF(D38="Wireless Mic",7000,IF(D38="Mouse",3200,IF(D38="Powerbanks",6000,IF(D38="Smartwatch",10000,""))))))))))))))</f>
        <v/>
      </c>
      <c r="H38" s="11" t="str">
        <f aca="false">IF(OR(F38="",G38=""),"",F38*G38)</f>
        <v/>
      </c>
      <c r="I38" s="18"/>
      <c r="J38" s="18"/>
    </row>
    <row r="39" customFormat="false" ht="18.75" hidden="false" customHeight="true" outlineLevel="0" collapsed="false">
      <c r="B39" s="5" t="n">
        <v>35</v>
      </c>
      <c r="C39" s="6"/>
      <c r="D39" s="7"/>
      <c r="E39" s="8"/>
      <c r="F39" s="9"/>
      <c r="G39" s="10" t="str">
        <f aca="false">IF(D39="","",IF(D39="EarPods",1500,IF(D39="Button Phone",6000,IF(D39="Memory Card",1000,IF(D39="Charger",1200,IF(D39="Tripod Stand",4500,IF(D39="Selfie Stick",2500,IF(D39="Cables",800,IF(D39="Ringlight",8500,IF(D39="Speakers",5500,IF(D39="Wireless Mic",7000,IF(D39="Mouse",3200,IF(D39="Powerbanks",6000,IF(D39="Smartwatch",10000,""))))))))))))))</f>
        <v/>
      </c>
      <c r="H39" s="11" t="str">
        <f aca="false">IF(OR(F39="",G39=""),"",F39*G39)</f>
        <v/>
      </c>
      <c r="I39" s="12"/>
      <c r="J39" s="12"/>
    </row>
    <row r="40" customFormat="false" ht="18.75" hidden="false" customHeight="true" outlineLevel="0" collapsed="false">
      <c r="B40" s="13" t="n">
        <v>36</v>
      </c>
      <c r="C40" s="14"/>
      <c r="D40" s="15"/>
      <c r="E40" s="16"/>
      <c r="F40" s="17"/>
      <c r="G40" s="10" t="str">
        <f aca="false">IF(D40="","",IF(D40="EarPods",1500,IF(D40="Button Phone",6000,IF(D40="Memory Card",1000,IF(D40="Charger",1200,IF(D40="Tripod Stand",4500,IF(D40="Selfie Stick",2500,IF(D40="Cables",800,IF(D40="Ringlight",8500,IF(D40="Speakers",5500,IF(D40="Wireless Mic",7000,IF(D40="Mouse",3200,IF(D40="Powerbanks",6000,IF(D40="Smartwatch",10000,""))))))))))))))</f>
        <v/>
      </c>
      <c r="H40" s="11" t="str">
        <f aca="false">IF(OR(F40="",G40=""),"",F40*G40)</f>
        <v/>
      </c>
      <c r="I40" s="18"/>
      <c r="J40" s="18"/>
    </row>
    <row r="41" customFormat="false" ht="18.75" hidden="false" customHeight="true" outlineLevel="0" collapsed="false">
      <c r="B41" s="5" t="n">
        <v>37</v>
      </c>
      <c r="C41" s="6"/>
      <c r="D41" s="7"/>
      <c r="E41" s="8"/>
      <c r="F41" s="9"/>
      <c r="G41" s="10" t="str">
        <f aca="false">IF(D41="","",IF(D41="EarPods",1500,IF(D41="Button Phone",6000,IF(D41="Memory Card",1000,IF(D41="Charger",1200,IF(D41="Tripod Stand",4500,IF(D41="Selfie Stick",2500,IF(D41="Cables",800,IF(D41="Ringlight",8500,IF(D41="Speakers",5500,IF(D41="Wireless Mic",7000,IF(D41="Mouse",3200,IF(D41="Powerbanks",6000,IF(D41="Smartwatch",10000,""))))))))))))))</f>
        <v/>
      </c>
      <c r="H41" s="11" t="str">
        <f aca="false">IF(OR(F41="",G41=""),"",F41*G41)</f>
        <v/>
      </c>
      <c r="I41" s="12"/>
      <c r="J41" s="12"/>
    </row>
    <row r="42" customFormat="false" ht="18.75" hidden="false" customHeight="true" outlineLevel="0" collapsed="false">
      <c r="B42" s="13" t="n">
        <v>38</v>
      </c>
      <c r="C42" s="14"/>
      <c r="D42" s="15"/>
      <c r="E42" s="16"/>
      <c r="F42" s="17"/>
      <c r="G42" s="10" t="str">
        <f aca="false">IF(D42="","",IF(D42="EarPods",1500,IF(D42="Button Phone",6000,IF(D42="Memory Card",1000,IF(D42="Charger",1200,IF(D42="Tripod Stand",4500,IF(D42="Selfie Stick",2500,IF(D42="Cables",800,IF(D42="Ringlight",8500,IF(D42="Speakers",5500,IF(D42="Wireless Mic",7000,IF(D42="Mouse",3200,IF(D42="Powerbanks",6000,IF(D42="Smartwatch",10000,""))))))))))))))</f>
        <v/>
      </c>
      <c r="H42" s="11" t="str">
        <f aca="false">IF(OR(F42="",G42=""),"",F42*G42)</f>
        <v/>
      </c>
      <c r="I42" s="18"/>
      <c r="J42" s="18"/>
    </row>
    <row r="43" customFormat="false" ht="18.75" hidden="false" customHeight="true" outlineLevel="0" collapsed="false">
      <c r="B43" s="5" t="n">
        <v>39</v>
      </c>
      <c r="C43" s="6"/>
      <c r="D43" s="7"/>
      <c r="E43" s="8"/>
      <c r="F43" s="9"/>
      <c r="G43" s="10" t="str">
        <f aca="false">IF(D43="","",IF(D43="EarPods",1500,IF(D43="Button Phone",6000,IF(D43="Memory Card",1000,IF(D43="Charger",1200,IF(D43="Tripod Stand",4500,IF(D43="Selfie Stick",2500,IF(D43="Cables",800,IF(D43="Ringlight",8500,IF(D43="Speakers",5500,IF(D43="Wireless Mic",7000,IF(D43="Mouse",3200,IF(D43="Powerbanks",6000,IF(D43="Smartwatch",10000,""))))))))))))))</f>
        <v/>
      </c>
      <c r="H43" s="11" t="str">
        <f aca="false">IF(OR(F43="",G43=""),"",F43*G43)</f>
        <v/>
      </c>
      <c r="I43" s="12"/>
      <c r="J43" s="12"/>
    </row>
    <row r="44" customFormat="false" ht="18.75" hidden="false" customHeight="true" outlineLevel="0" collapsed="false">
      <c r="B44" s="13" t="n">
        <v>40</v>
      </c>
      <c r="C44" s="14"/>
      <c r="D44" s="15"/>
      <c r="E44" s="16"/>
      <c r="F44" s="17"/>
      <c r="G44" s="10" t="str">
        <f aca="false">IF(D44="","",IF(D44="EarPods",1500,IF(D44="Button Phone",6000,IF(D44="Memory Card",1000,IF(D44="Charger",1200,IF(D44="Tripod Stand",4500,IF(D44="Selfie Stick",2500,IF(D44="Cables",800,IF(D44="Ringlight",8500,IF(D44="Speakers",5500,IF(D44="Wireless Mic",7000,IF(D44="Mouse",3200,IF(D44="Powerbanks",6000,IF(D44="Smartwatch",10000,""))))))))))))))</f>
        <v/>
      </c>
      <c r="H44" s="11" t="str">
        <f aca="false">IF(OR(F44="",G44=""),"",F44*G44)</f>
        <v/>
      </c>
      <c r="I44" s="18"/>
      <c r="J44" s="18"/>
    </row>
    <row r="45" customFormat="false" ht="18.75" hidden="false" customHeight="true" outlineLevel="0" collapsed="false">
      <c r="B45" s="5" t="n">
        <v>41</v>
      </c>
      <c r="C45" s="6"/>
      <c r="D45" s="7"/>
      <c r="E45" s="8"/>
      <c r="F45" s="9"/>
      <c r="G45" s="10" t="str">
        <f aca="false">IF(D45="","",IF(D45="EarPods",1500,IF(D45="Button Phone",6000,IF(D45="Memory Card",1000,IF(D45="Charger",1200,IF(D45="Tripod Stand",4500,IF(D45="Selfie Stick",2500,IF(D45="Cables",800,IF(D45="Ringlight",8500,IF(D45="Speakers",5500,IF(D45="Wireless Mic",7000,IF(D45="Mouse",3200,IF(D45="Powerbanks",6000,IF(D45="Smartwatch",10000,""))))))))))))))</f>
        <v/>
      </c>
      <c r="H45" s="11" t="str">
        <f aca="false">IF(OR(F45="",G45=""),"",F45*G45)</f>
        <v/>
      </c>
      <c r="I45" s="12"/>
      <c r="J45" s="12"/>
    </row>
    <row r="46" customFormat="false" ht="18.75" hidden="false" customHeight="true" outlineLevel="0" collapsed="false">
      <c r="B46" s="13" t="n">
        <v>42</v>
      </c>
      <c r="C46" s="14"/>
      <c r="D46" s="15"/>
      <c r="E46" s="16"/>
      <c r="F46" s="17"/>
      <c r="G46" s="10" t="str">
        <f aca="false">IF(D46="","",IF(D46="EarPods",1500,IF(D46="Button Phone",6000,IF(D46="Memory Card",1000,IF(D46="Charger",1200,IF(D46="Tripod Stand",4500,IF(D46="Selfie Stick",2500,IF(D46="Cables",800,IF(D46="Ringlight",8500,IF(D46="Speakers",5500,IF(D46="Wireless Mic",7000,IF(D46="Mouse",3200,IF(D46="Powerbanks",6000,IF(D46="Smartwatch",10000,""))))))))))))))</f>
        <v/>
      </c>
      <c r="H46" s="11" t="str">
        <f aca="false">IF(OR(F46="",G46=""),"",F46*G46)</f>
        <v/>
      </c>
      <c r="I46" s="18"/>
      <c r="J46" s="18"/>
    </row>
    <row r="47" customFormat="false" ht="18.75" hidden="false" customHeight="true" outlineLevel="0" collapsed="false">
      <c r="B47" s="5" t="n">
        <v>43</v>
      </c>
      <c r="C47" s="6"/>
      <c r="D47" s="7"/>
      <c r="E47" s="8"/>
      <c r="F47" s="9"/>
      <c r="G47" s="10" t="str">
        <f aca="false">IF(D47="","",IF(D47="EarPods",1500,IF(D47="Button Phone",6000,IF(D47="Memory Card",1000,IF(D47="Charger",1200,IF(D47="Tripod Stand",4500,IF(D47="Selfie Stick",2500,IF(D47="Cables",800,IF(D47="Ringlight",8500,IF(D47="Speakers",5500,IF(D47="Wireless Mic",7000,IF(D47="Mouse",3200,IF(D47="Powerbanks",6000,IF(D47="Smartwatch",10000,""))))))))))))))</f>
        <v/>
      </c>
      <c r="H47" s="11" t="str">
        <f aca="false">IF(OR(F47="",G47=""),"",F47*G47)</f>
        <v/>
      </c>
      <c r="I47" s="12"/>
      <c r="J47" s="12"/>
    </row>
    <row r="48" customFormat="false" ht="18.75" hidden="false" customHeight="true" outlineLevel="0" collapsed="false">
      <c r="B48" s="13" t="n">
        <v>44</v>
      </c>
      <c r="C48" s="14"/>
      <c r="D48" s="15"/>
      <c r="E48" s="16"/>
      <c r="F48" s="17"/>
      <c r="G48" s="10" t="str">
        <f aca="false">IF(D48="","",IF(D48="EarPods",1500,IF(D48="Button Phone",6000,IF(D48="Memory Card",1000,IF(D48="Charger",1200,IF(D48="Tripod Stand",4500,IF(D48="Selfie Stick",2500,IF(D48="Cables",800,IF(D48="Ringlight",8500,IF(D48="Speakers",5500,IF(D48="Wireless Mic",7000,IF(D48="Mouse",3200,IF(D48="Powerbanks",6000,IF(D48="Smartwatch",10000,""))))))))))))))</f>
        <v/>
      </c>
      <c r="H48" s="11" t="str">
        <f aca="false">IF(OR(F48="",G48=""),"",F48*G48)</f>
        <v/>
      </c>
      <c r="I48" s="18"/>
      <c r="J48" s="18"/>
    </row>
    <row r="49" customFormat="false" ht="18.75" hidden="false" customHeight="true" outlineLevel="0" collapsed="false">
      <c r="B49" s="5" t="n">
        <v>45</v>
      </c>
      <c r="C49" s="6"/>
      <c r="D49" s="7"/>
      <c r="E49" s="8"/>
      <c r="F49" s="9"/>
      <c r="G49" s="10" t="str">
        <f aca="false">IF(D49="","",IF(D49="EarPods",1500,IF(D49="Button Phone",6000,IF(D49="Memory Card",1000,IF(D49="Charger",1200,IF(D49="Tripod Stand",4500,IF(D49="Selfie Stick",2500,IF(D49="Cables",800,IF(D49="Ringlight",8500,IF(D49="Speakers",5500,IF(D49="Wireless Mic",7000,IF(D49="Mouse",3200,IF(D49="Powerbanks",6000,IF(D49="Smartwatch",10000,""))))))))))))))</f>
        <v/>
      </c>
      <c r="H49" s="11" t="str">
        <f aca="false">IF(OR(F49="",G49=""),"",F49*G49)</f>
        <v/>
      </c>
      <c r="I49" s="12"/>
      <c r="J49" s="12"/>
    </row>
    <row r="50" customFormat="false" ht="18.75" hidden="false" customHeight="true" outlineLevel="0" collapsed="false">
      <c r="B50" s="13" t="n">
        <v>46</v>
      </c>
      <c r="C50" s="14"/>
      <c r="D50" s="15"/>
      <c r="E50" s="16"/>
      <c r="F50" s="17"/>
      <c r="G50" s="10" t="str">
        <f aca="false">IF(D50="","",IF(D50="EarPods",1500,IF(D50="Button Phone",6000,IF(D50="Memory Card",1000,IF(D50="Charger",1200,IF(D50="Tripod Stand",4500,IF(D50="Selfie Stick",2500,IF(D50="Cables",800,IF(D50="Ringlight",8500,IF(D50="Speakers",5500,IF(D50="Wireless Mic",7000,IF(D50="Mouse",3200,IF(D50="Powerbanks",6000,IF(D50="Smartwatch",10000,""))))))))))))))</f>
        <v/>
      </c>
      <c r="H50" s="11" t="str">
        <f aca="false">IF(OR(F50="",G50=""),"",F50*G50)</f>
        <v/>
      </c>
      <c r="I50" s="18"/>
      <c r="J50" s="18"/>
    </row>
    <row r="51" customFormat="false" ht="18.75" hidden="false" customHeight="true" outlineLevel="0" collapsed="false">
      <c r="B51" s="5" t="n">
        <v>47</v>
      </c>
      <c r="C51" s="6"/>
      <c r="D51" s="7"/>
      <c r="E51" s="8"/>
      <c r="F51" s="9"/>
      <c r="G51" s="10" t="str">
        <f aca="false">IF(D51="","",IF(D51="EarPods",1500,IF(D51="Button Phone",6000,IF(D51="Memory Card",1000,IF(D51="Charger",1200,IF(D51="Tripod Stand",4500,IF(D51="Selfie Stick",2500,IF(D51="Cables",800,IF(D51="Ringlight",8500,IF(D51="Speakers",5500,IF(D51="Wireless Mic",7000,IF(D51="Mouse",3200,IF(D51="Powerbanks",6000,IF(D51="Smartwatch",10000,""))))))))))))))</f>
        <v/>
      </c>
      <c r="H51" s="11" t="str">
        <f aca="false">IF(OR(F51="",G51=""),"",F51*G51)</f>
        <v/>
      </c>
      <c r="I51" s="12"/>
      <c r="J51" s="12"/>
    </row>
    <row r="52" customFormat="false" ht="18.75" hidden="false" customHeight="true" outlineLevel="0" collapsed="false">
      <c r="B52" s="13" t="n">
        <v>48</v>
      </c>
      <c r="C52" s="14"/>
      <c r="D52" s="15"/>
      <c r="E52" s="16"/>
      <c r="F52" s="17"/>
      <c r="G52" s="10" t="str">
        <f aca="false">IF(D52="","",IF(D52="EarPods",1500,IF(D52="Button Phone",6000,IF(D52="Memory Card",1000,IF(D52="Charger",1200,IF(D52="Tripod Stand",4500,IF(D52="Selfie Stick",2500,IF(D52="Cables",800,IF(D52="Ringlight",8500,IF(D52="Speakers",5500,IF(D52="Wireless Mic",7000,IF(D52="Mouse",3200,IF(D52="Powerbanks",6000,IF(D52="Smartwatch",10000,""))))))))))))))</f>
        <v/>
      </c>
      <c r="H52" s="11" t="str">
        <f aca="false">IF(OR(F52="",G52=""),"",F52*G52)</f>
        <v/>
      </c>
      <c r="I52" s="18"/>
      <c r="J52" s="18"/>
    </row>
    <row r="53" customFormat="false" ht="18.75" hidden="false" customHeight="true" outlineLevel="0" collapsed="false">
      <c r="B53" s="5" t="n">
        <v>49</v>
      </c>
      <c r="C53" s="6"/>
      <c r="D53" s="7"/>
      <c r="E53" s="8"/>
      <c r="F53" s="9"/>
      <c r="G53" s="10" t="str">
        <f aca="false">IF(D53="","",IF(D53="EarPods",1500,IF(D53="Button Phone",6000,IF(D53="Memory Card",1000,IF(D53="Charger",1200,IF(D53="Tripod Stand",4500,IF(D53="Selfie Stick",2500,IF(D53="Cables",800,IF(D53="Ringlight",8500,IF(D53="Speakers",5500,IF(D53="Wireless Mic",7000,IF(D53="Mouse",3200,IF(D53="Powerbanks",6000,IF(D53="Smartwatch",10000,""))))))))))))))</f>
        <v/>
      </c>
      <c r="H53" s="11" t="str">
        <f aca="false">IF(OR(F53="",G53=""),"",F53*G53)</f>
        <v/>
      </c>
      <c r="I53" s="12"/>
      <c r="J53" s="12"/>
    </row>
    <row r="54" customFormat="false" ht="18.75" hidden="false" customHeight="true" outlineLevel="0" collapsed="false">
      <c r="B54" s="13" t="n">
        <v>50</v>
      </c>
      <c r="C54" s="14"/>
      <c r="D54" s="15"/>
      <c r="E54" s="16"/>
      <c r="F54" s="17"/>
      <c r="G54" s="10" t="str">
        <f aca="false">IF(D54="","",IF(D54="EarPods",1500,IF(D54="Button Phone",6000,IF(D54="Memory Card",1000,IF(D54="Charger",1200,IF(D54="Tripod Stand",4500,IF(D54="Selfie Stick",2500,IF(D54="Cables",800,IF(D54="Ringlight",8500,IF(D54="Speakers",5500,IF(D54="Wireless Mic",7000,IF(D54="Mouse",3200,IF(D54="Powerbanks",6000,IF(D54="Smartwatch",10000,""))))))))))))))</f>
        <v/>
      </c>
      <c r="H54" s="11" t="str">
        <f aca="false">IF(OR(F54="",G54=""),"",F54*G54)</f>
        <v/>
      </c>
      <c r="I54" s="18"/>
      <c r="J54" s="18"/>
    </row>
    <row r="55" customFormat="false" ht="18.75" hidden="false" customHeight="true" outlineLevel="0" collapsed="false">
      <c r="B55" s="5" t="n">
        <v>51</v>
      </c>
      <c r="C55" s="6"/>
      <c r="D55" s="7"/>
      <c r="E55" s="8"/>
      <c r="F55" s="9"/>
      <c r="G55" s="10" t="str">
        <f aca="false">IF(D55="","",IF(D55="EarPods",1500,IF(D55="Button Phone",6000,IF(D55="Memory Card",1000,IF(D55="Charger",1200,IF(D55="Tripod Stand",4500,IF(D55="Selfie Stick",2500,IF(D55="Cables",800,IF(D55="Ringlight",8500,IF(D55="Speakers",5500,IF(D55="Wireless Mic",7000,IF(D55="Mouse",3200,IF(D55="Powerbanks",6000,IF(D55="Smartwatch",10000,""))))))))))))))</f>
        <v/>
      </c>
      <c r="H55" s="11" t="str">
        <f aca="false">IF(OR(F55="",G55=""),"",F55*G55)</f>
        <v/>
      </c>
      <c r="I55" s="12"/>
      <c r="J55" s="12"/>
    </row>
    <row r="56" customFormat="false" ht="18.75" hidden="false" customHeight="true" outlineLevel="0" collapsed="false">
      <c r="B56" s="13" t="n">
        <v>52</v>
      </c>
      <c r="C56" s="14"/>
      <c r="D56" s="15"/>
      <c r="E56" s="16"/>
      <c r="F56" s="17"/>
      <c r="G56" s="10" t="str">
        <f aca="false">IF(D56="","",IF(D56="EarPods",1500,IF(D56="Button Phone",6000,IF(D56="Memory Card",1000,IF(D56="Charger",1200,IF(D56="Tripod Stand",4500,IF(D56="Selfie Stick",2500,IF(D56="Cables",800,IF(D56="Ringlight",8500,IF(D56="Speakers",5500,IF(D56="Wireless Mic",7000,IF(D56="Mouse",3200,IF(D56="Powerbanks",6000,IF(D56="Smartwatch",10000,""))))))))))))))</f>
        <v/>
      </c>
      <c r="H56" s="11" t="str">
        <f aca="false">IF(OR(F56="",G56=""),"",F56*G56)</f>
        <v/>
      </c>
      <c r="I56" s="18"/>
      <c r="J56" s="18"/>
    </row>
    <row r="57" customFormat="false" ht="18.75" hidden="false" customHeight="true" outlineLevel="0" collapsed="false">
      <c r="B57" s="5" t="n">
        <v>53</v>
      </c>
      <c r="C57" s="6"/>
      <c r="D57" s="7"/>
      <c r="E57" s="8"/>
      <c r="F57" s="9"/>
      <c r="G57" s="10" t="str">
        <f aca="false">IF(D57="","",IF(D57="EarPods",1500,IF(D57="Button Phone",6000,IF(D57="Memory Card",1000,IF(D57="Charger",1200,IF(D57="Tripod Stand",4500,IF(D57="Selfie Stick",2500,IF(D57="Cables",800,IF(D57="Ringlight",8500,IF(D57="Speakers",5500,IF(D57="Wireless Mic",7000,IF(D57="Mouse",3200,IF(D57="Powerbanks",6000,IF(D57="Smartwatch",10000,""))))))))))))))</f>
        <v/>
      </c>
      <c r="H57" s="11" t="str">
        <f aca="false">IF(OR(F57="",G57=""),"",F57*G57)</f>
        <v/>
      </c>
      <c r="I57" s="12"/>
      <c r="J57" s="12"/>
    </row>
    <row r="58" customFormat="false" ht="18.75" hidden="false" customHeight="true" outlineLevel="0" collapsed="false">
      <c r="B58" s="13" t="n">
        <v>54</v>
      </c>
      <c r="C58" s="14"/>
      <c r="D58" s="15"/>
      <c r="E58" s="16"/>
      <c r="F58" s="17"/>
      <c r="G58" s="10" t="str">
        <f aca="false">IF(D58="","",IF(D58="EarPods",1500,IF(D58="Button Phone",6000,IF(D58="Memory Card",1000,IF(D58="Charger",1200,IF(D58="Tripod Stand",4500,IF(D58="Selfie Stick",2500,IF(D58="Cables",800,IF(D58="Ringlight",8500,IF(D58="Speakers",5500,IF(D58="Wireless Mic",7000,IF(D58="Mouse",3200,IF(D58="Powerbanks",6000,IF(D58="Smartwatch",10000,""))))))))))))))</f>
        <v/>
      </c>
      <c r="H58" s="11" t="str">
        <f aca="false">IF(OR(F58="",G58=""),"",F58*G58)</f>
        <v/>
      </c>
      <c r="I58" s="18"/>
      <c r="J58" s="18"/>
    </row>
    <row r="59" customFormat="false" ht="18.75" hidden="false" customHeight="true" outlineLevel="0" collapsed="false">
      <c r="B59" s="5" t="n">
        <v>55</v>
      </c>
      <c r="C59" s="6"/>
      <c r="D59" s="7"/>
      <c r="E59" s="8"/>
      <c r="F59" s="9"/>
      <c r="G59" s="10" t="str">
        <f aca="false">IF(D59="","",IF(D59="EarPods",1500,IF(D59="Button Phone",6000,IF(D59="Memory Card",1000,IF(D59="Charger",1200,IF(D59="Tripod Stand",4500,IF(D59="Selfie Stick",2500,IF(D59="Cables",800,IF(D59="Ringlight",8500,IF(D59="Speakers",5500,IF(D59="Wireless Mic",7000,IF(D59="Mouse",3200,IF(D59="Powerbanks",6000,IF(D59="Smartwatch",10000,""))))))))))))))</f>
        <v/>
      </c>
      <c r="H59" s="11" t="str">
        <f aca="false">IF(OR(F59="",G59=""),"",F59*G59)</f>
        <v/>
      </c>
      <c r="I59" s="12"/>
      <c r="J59" s="12"/>
    </row>
    <row r="60" customFormat="false" ht="18.75" hidden="false" customHeight="true" outlineLevel="0" collapsed="false">
      <c r="B60" s="13" t="n">
        <v>56</v>
      </c>
      <c r="C60" s="14"/>
      <c r="D60" s="15"/>
      <c r="E60" s="16"/>
      <c r="F60" s="17"/>
      <c r="G60" s="10" t="str">
        <f aca="false">IF(D60="","",IF(D60="EarPods",1500,IF(D60="Button Phone",6000,IF(D60="Memory Card",1000,IF(D60="Charger",1200,IF(D60="Tripod Stand",4500,IF(D60="Selfie Stick",2500,IF(D60="Cables",800,IF(D60="Ringlight",8500,IF(D60="Speakers",5500,IF(D60="Wireless Mic",7000,IF(D60="Mouse",3200,IF(D60="Powerbanks",6000,IF(D60="Smartwatch",10000,""))))))))))))))</f>
        <v/>
      </c>
      <c r="H60" s="11" t="str">
        <f aca="false">IF(OR(F60="",G60=""),"",F60*G60)</f>
        <v/>
      </c>
      <c r="I60" s="18"/>
      <c r="J60" s="18"/>
    </row>
    <row r="61" customFormat="false" ht="18.75" hidden="false" customHeight="true" outlineLevel="0" collapsed="false">
      <c r="B61" s="5" t="n">
        <v>57</v>
      </c>
      <c r="C61" s="6"/>
      <c r="D61" s="7"/>
      <c r="E61" s="8"/>
      <c r="F61" s="9"/>
      <c r="G61" s="10" t="str">
        <f aca="false">IF(D61="","",IF(D61="EarPods",1500,IF(D61="Button Phone",6000,IF(D61="Memory Card",1000,IF(D61="Charger",1200,IF(D61="Tripod Stand",4500,IF(D61="Selfie Stick",2500,IF(D61="Cables",800,IF(D61="Ringlight",8500,IF(D61="Speakers",5500,IF(D61="Wireless Mic",7000,IF(D61="Mouse",3200,IF(D61="Powerbanks",6000,IF(D61="Smartwatch",10000,""))))))))))))))</f>
        <v/>
      </c>
      <c r="H61" s="11" t="str">
        <f aca="false">IF(OR(F61="",G61=""),"",F61*G61)</f>
        <v/>
      </c>
      <c r="I61" s="12"/>
      <c r="J61" s="12"/>
    </row>
    <row r="62" customFormat="false" ht="18.75" hidden="false" customHeight="true" outlineLevel="0" collapsed="false">
      <c r="B62" s="13" t="n">
        <v>58</v>
      </c>
      <c r="C62" s="14"/>
      <c r="D62" s="15"/>
      <c r="E62" s="16"/>
      <c r="F62" s="17"/>
      <c r="G62" s="10" t="str">
        <f aca="false">IF(D62="","",IF(D62="EarPods",1500,IF(D62="Button Phone",6000,IF(D62="Memory Card",1000,IF(D62="Charger",1200,IF(D62="Tripod Stand",4500,IF(D62="Selfie Stick",2500,IF(D62="Cables",800,IF(D62="Ringlight",8500,IF(D62="Speakers",5500,IF(D62="Wireless Mic",7000,IF(D62="Mouse",3200,IF(D62="Powerbanks",6000,IF(D62="Smartwatch",10000,""))))))))))))))</f>
        <v/>
      </c>
      <c r="H62" s="11" t="str">
        <f aca="false">IF(OR(F62="",G62=""),"",F62*G62)</f>
        <v/>
      </c>
      <c r="I62" s="18"/>
      <c r="J62" s="18"/>
    </row>
    <row r="63" customFormat="false" ht="18.75" hidden="false" customHeight="true" outlineLevel="0" collapsed="false">
      <c r="B63" s="5" t="n">
        <v>59</v>
      </c>
      <c r="C63" s="6"/>
      <c r="D63" s="7"/>
      <c r="E63" s="8"/>
      <c r="F63" s="9"/>
      <c r="G63" s="10" t="str">
        <f aca="false">IF(D63="","",IF(D63="EarPods",1500,IF(D63="Button Phone",6000,IF(D63="Memory Card",1000,IF(D63="Charger",1200,IF(D63="Tripod Stand",4500,IF(D63="Selfie Stick",2500,IF(D63="Cables",800,IF(D63="Ringlight",8500,IF(D63="Speakers",5500,IF(D63="Wireless Mic",7000,IF(D63="Mouse",3200,IF(D63="Powerbanks",6000,IF(D63="Smartwatch",10000,""))))))))))))))</f>
        <v/>
      </c>
      <c r="H63" s="11" t="str">
        <f aca="false">IF(OR(F63="",G63=""),"",F63*G63)</f>
        <v/>
      </c>
      <c r="I63" s="12"/>
      <c r="J63" s="12"/>
    </row>
    <row r="64" customFormat="false" ht="18.75" hidden="false" customHeight="true" outlineLevel="0" collapsed="false">
      <c r="B64" s="13" t="n">
        <v>60</v>
      </c>
      <c r="C64" s="14"/>
      <c r="D64" s="15"/>
      <c r="E64" s="16"/>
      <c r="F64" s="17"/>
      <c r="G64" s="10" t="str">
        <f aca="false">IF(D64="","",IF(D64="EarPods",1500,IF(D64="Button Phone",6000,IF(D64="Memory Card",1000,IF(D64="Charger",1200,IF(D64="Tripod Stand",4500,IF(D64="Selfie Stick",2500,IF(D64="Cables",800,IF(D64="Ringlight",8500,IF(D64="Speakers",5500,IF(D64="Wireless Mic",7000,IF(D64="Mouse",3200,IF(D64="Powerbanks",6000,IF(D64="Smartwatch",10000,""))))))))))))))</f>
        <v/>
      </c>
      <c r="H64" s="11" t="str">
        <f aca="false">IF(OR(F64="",G64=""),"",F64*G64)</f>
        <v/>
      </c>
      <c r="I64" s="18"/>
      <c r="J64" s="18"/>
    </row>
    <row r="65" customFormat="false" ht="18.75" hidden="false" customHeight="true" outlineLevel="0" collapsed="false">
      <c r="B65" s="5" t="n">
        <v>61</v>
      </c>
      <c r="C65" s="6"/>
      <c r="D65" s="7"/>
      <c r="E65" s="8"/>
      <c r="F65" s="9"/>
      <c r="G65" s="10" t="str">
        <f aca="false">IF(D65="","",IF(D65="EarPods",1500,IF(D65="Button Phone",6000,IF(D65="Memory Card",1000,IF(D65="Charger",1200,IF(D65="Tripod Stand",4500,IF(D65="Selfie Stick",2500,IF(D65="Cables",800,IF(D65="Ringlight",8500,IF(D65="Speakers",5500,IF(D65="Wireless Mic",7000,IF(D65="Mouse",3200,IF(D65="Powerbanks",6000,IF(D65="Smartwatch",10000,""))))))))))))))</f>
        <v/>
      </c>
      <c r="H65" s="11" t="str">
        <f aca="false">IF(OR(F65="",G65=""),"",F65*G65)</f>
        <v/>
      </c>
      <c r="I65" s="12"/>
      <c r="J65" s="12"/>
    </row>
    <row r="66" customFormat="false" ht="18.75" hidden="false" customHeight="true" outlineLevel="0" collapsed="false">
      <c r="B66" s="13" t="n">
        <v>62</v>
      </c>
      <c r="C66" s="14"/>
      <c r="D66" s="15"/>
      <c r="E66" s="16"/>
      <c r="F66" s="17"/>
      <c r="G66" s="10" t="str">
        <f aca="false">IF(D66="","",IF(D66="EarPods",1500,IF(D66="Button Phone",6000,IF(D66="Memory Card",1000,IF(D66="Charger",1200,IF(D66="Tripod Stand",4500,IF(D66="Selfie Stick",2500,IF(D66="Cables",800,IF(D66="Ringlight",8500,IF(D66="Speakers",5500,IF(D66="Wireless Mic",7000,IF(D66="Mouse",3200,IF(D66="Powerbanks",6000,IF(D66="Smartwatch",10000,""))))))))))))))</f>
        <v/>
      </c>
      <c r="H66" s="11" t="str">
        <f aca="false">IF(OR(F66="",G66=""),"",F66*G66)</f>
        <v/>
      </c>
      <c r="I66" s="18"/>
      <c r="J66" s="18"/>
    </row>
    <row r="67" customFormat="false" ht="18.75" hidden="false" customHeight="true" outlineLevel="0" collapsed="false">
      <c r="B67" s="5" t="n">
        <v>63</v>
      </c>
      <c r="C67" s="6"/>
      <c r="D67" s="7"/>
      <c r="E67" s="8"/>
      <c r="F67" s="9"/>
      <c r="G67" s="10" t="str">
        <f aca="false">IF(D67="","",IF(D67="EarPods",1500,IF(D67="Button Phone",6000,IF(D67="Memory Card",1000,IF(D67="Charger",1200,IF(D67="Tripod Stand",4500,IF(D67="Selfie Stick",2500,IF(D67="Cables",800,IF(D67="Ringlight",8500,IF(D67="Speakers",5500,IF(D67="Wireless Mic",7000,IF(D67="Mouse",3200,IF(D67="Powerbanks",6000,IF(D67="Smartwatch",10000,""))))))))))))))</f>
        <v/>
      </c>
      <c r="H67" s="11" t="str">
        <f aca="false">IF(OR(F67="",G67=""),"",F67*G67)</f>
        <v/>
      </c>
      <c r="I67" s="12"/>
      <c r="J67" s="12"/>
    </row>
    <row r="68" customFormat="false" ht="18.75" hidden="false" customHeight="true" outlineLevel="0" collapsed="false">
      <c r="B68" s="13" t="n">
        <v>64</v>
      </c>
      <c r="C68" s="14"/>
      <c r="D68" s="15"/>
      <c r="E68" s="16"/>
      <c r="F68" s="17"/>
      <c r="G68" s="10" t="str">
        <f aca="false">IF(D68="","",IF(D68="EarPods",1500,IF(D68="Button Phone",6000,IF(D68="Memory Card",1000,IF(D68="Charger",1200,IF(D68="Tripod Stand",4500,IF(D68="Selfie Stick",2500,IF(D68="Cables",800,IF(D68="Ringlight",8500,IF(D68="Speakers",5500,IF(D68="Wireless Mic",7000,IF(D68="Mouse",3200,IF(D68="Powerbanks",6000,IF(D68="Smartwatch",10000,""))))))))))))))</f>
        <v/>
      </c>
      <c r="H68" s="11" t="str">
        <f aca="false">IF(OR(F68="",G68=""),"",F68*G68)</f>
        <v/>
      </c>
      <c r="I68" s="18"/>
      <c r="J68" s="18"/>
    </row>
    <row r="69" customFormat="false" ht="18.75" hidden="false" customHeight="true" outlineLevel="0" collapsed="false">
      <c r="B69" s="5" t="n">
        <v>65</v>
      </c>
      <c r="C69" s="6"/>
      <c r="D69" s="7"/>
      <c r="E69" s="8"/>
      <c r="F69" s="9"/>
      <c r="G69" s="10" t="str">
        <f aca="false">IF(D69="","",IF(D69="EarPods",1500,IF(D69="Button Phone",6000,IF(D69="Memory Card",1000,IF(D69="Charger",1200,IF(D69="Tripod Stand",4500,IF(D69="Selfie Stick",2500,IF(D69="Cables",800,IF(D69="Ringlight",8500,IF(D69="Speakers",5500,IF(D69="Wireless Mic",7000,IF(D69="Mouse",3200,IF(D69="Powerbanks",6000,IF(D69="Smartwatch",10000,""))))))))))))))</f>
        <v/>
      </c>
      <c r="H69" s="11" t="str">
        <f aca="false">IF(OR(F69="",G69=""),"",F69*G69)</f>
        <v/>
      </c>
      <c r="I69" s="12"/>
      <c r="J69" s="12"/>
    </row>
    <row r="70" customFormat="false" ht="18.75" hidden="false" customHeight="true" outlineLevel="0" collapsed="false">
      <c r="B70" s="13" t="n">
        <v>66</v>
      </c>
      <c r="C70" s="14"/>
      <c r="D70" s="15"/>
      <c r="E70" s="16"/>
      <c r="F70" s="17"/>
      <c r="G70" s="10" t="str">
        <f aca="false">IF(D70="","",IF(D70="EarPods",1500,IF(D70="Button Phone",6000,IF(D70="Memory Card",1000,IF(D70="Charger",1200,IF(D70="Tripod Stand",4500,IF(D70="Selfie Stick",2500,IF(D70="Cables",800,IF(D70="Ringlight",8500,IF(D70="Speakers",5500,IF(D70="Wireless Mic",7000,IF(D70="Mouse",3200,IF(D70="Powerbanks",6000,IF(D70="Smartwatch",10000,""))))))))))))))</f>
        <v/>
      </c>
      <c r="H70" s="11" t="str">
        <f aca="false">IF(OR(F70="",G70=""),"",F70*G70)</f>
        <v/>
      </c>
      <c r="I70" s="18"/>
      <c r="J70" s="18"/>
    </row>
    <row r="71" customFormat="false" ht="18.75" hidden="false" customHeight="true" outlineLevel="0" collapsed="false">
      <c r="B71" s="5" t="n">
        <v>67</v>
      </c>
      <c r="C71" s="6"/>
      <c r="D71" s="7"/>
      <c r="E71" s="8"/>
      <c r="F71" s="9"/>
      <c r="G71" s="10" t="str">
        <f aca="false">IF(D71="","",IF(D71="EarPods",1500,IF(D71="Button Phone",6000,IF(D71="Memory Card",1000,IF(D71="Charger",1200,IF(D71="Tripod Stand",4500,IF(D71="Selfie Stick",2500,IF(D71="Cables",800,IF(D71="Ringlight",8500,IF(D71="Speakers",5500,IF(D71="Wireless Mic",7000,IF(D71="Mouse",3200,IF(D71="Powerbanks",6000,IF(D71="Smartwatch",10000,""))))))))))))))</f>
        <v/>
      </c>
      <c r="H71" s="11" t="str">
        <f aca="false">IF(OR(F71="",G71=""),"",F71*G71)</f>
        <v/>
      </c>
      <c r="I71" s="12"/>
      <c r="J71" s="12"/>
    </row>
    <row r="72" customFormat="false" ht="18.75" hidden="false" customHeight="true" outlineLevel="0" collapsed="false">
      <c r="B72" s="13" t="n">
        <v>68</v>
      </c>
      <c r="C72" s="14"/>
      <c r="D72" s="15"/>
      <c r="E72" s="16"/>
      <c r="F72" s="17"/>
      <c r="G72" s="10" t="str">
        <f aca="false">IF(D72="","",IF(D72="EarPods",1500,IF(D72="Button Phone",6000,IF(D72="Memory Card",1000,IF(D72="Charger",1200,IF(D72="Tripod Stand",4500,IF(D72="Selfie Stick",2500,IF(D72="Cables",800,IF(D72="Ringlight",8500,IF(D72="Speakers",5500,IF(D72="Wireless Mic",7000,IF(D72="Mouse",3200,IF(D72="Powerbanks",6000,IF(D72="Smartwatch",10000,""))))))))))))))</f>
        <v/>
      </c>
      <c r="H72" s="11" t="str">
        <f aca="false">IF(OR(F72="",G72=""),"",F72*G72)</f>
        <v/>
      </c>
      <c r="I72" s="18"/>
      <c r="J72" s="18"/>
    </row>
    <row r="73" customFormat="false" ht="18.75" hidden="false" customHeight="true" outlineLevel="0" collapsed="false">
      <c r="B73" s="5" t="n">
        <v>69</v>
      </c>
      <c r="C73" s="6"/>
      <c r="D73" s="7"/>
      <c r="E73" s="8"/>
      <c r="F73" s="9"/>
      <c r="G73" s="10" t="str">
        <f aca="false">IF(D73="","",IF(D73="EarPods",1500,IF(D73="Button Phone",6000,IF(D73="Memory Card",1000,IF(D73="Charger",1200,IF(D73="Tripod Stand",4500,IF(D73="Selfie Stick",2500,IF(D73="Cables",800,IF(D73="Ringlight",8500,IF(D73="Speakers",5500,IF(D73="Wireless Mic",7000,IF(D73="Mouse",3200,IF(D73="Powerbanks",6000,IF(D73="Smartwatch",10000,""))))))))))))))</f>
        <v/>
      </c>
      <c r="H73" s="11" t="str">
        <f aca="false">IF(OR(F73="",G73=""),"",F73*G73)</f>
        <v/>
      </c>
      <c r="I73" s="12"/>
      <c r="J73" s="12"/>
    </row>
    <row r="74" customFormat="false" ht="18.75" hidden="false" customHeight="true" outlineLevel="0" collapsed="false">
      <c r="B74" s="13" t="n">
        <v>70</v>
      </c>
      <c r="C74" s="14"/>
      <c r="D74" s="15"/>
      <c r="E74" s="16"/>
      <c r="F74" s="17"/>
      <c r="G74" s="10" t="str">
        <f aca="false">IF(D74="","",IF(D74="EarPods",1500,IF(D74="Button Phone",6000,IF(D74="Memory Card",1000,IF(D74="Charger",1200,IF(D74="Tripod Stand",4500,IF(D74="Selfie Stick",2500,IF(D74="Cables",800,IF(D74="Ringlight",8500,IF(D74="Speakers",5500,IF(D74="Wireless Mic",7000,IF(D74="Mouse",3200,IF(D74="Powerbanks",6000,IF(D74="Smartwatch",10000,""))))))))))))))</f>
        <v/>
      </c>
      <c r="H74" s="11" t="str">
        <f aca="false">IF(OR(F74="",G74=""),"",F74*G74)</f>
        <v/>
      </c>
      <c r="I74" s="18"/>
      <c r="J74" s="18"/>
    </row>
    <row r="75" customFormat="false" ht="18.75" hidden="false" customHeight="true" outlineLevel="0" collapsed="false">
      <c r="B75" s="5" t="n">
        <v>71</v>
      </c>
      <c r="C75" s="6"/>
      <c r="D75" s="7"/>
      <c r="E75" s="8"/>
      <c r="F75" s="9"/>
      <c r="G75" s="10" t="str">
        <f aca="false">IF(D75="","",IF(D75="EarPods",1500,IF(D75="Button Phone",6000,IF(D75="Memory Card",1000,IF(D75="Charger",1200,IF(D75="Tripod Stand",4500,IF(D75="Selfie Stick",2500,IF(D75="Cables",800,IF(D75="Ringlight",8500,IF(D75="Speakers",5500,IF(D75="Wireless Mic",7000,IF(D75="Mouse",3200,IF(D75="Powerbanks",6000,IF(D75="Smartwatch",10000,""))))))))))))))</f>
        <v/>
      </c>
      <c r="H75" s="11" t="str">
        <f aca="false">IF(OR(F75="",G75=""),"",F75*G75)</f>
        <v/>
      </c>
      <c r="I75" s="12"/>
      <c r="J75" s="12"/>
    </row>
    <row r="76" customFormat="false" ht="18.75" hidden="false" customHeight="true" outlineLevel="0" collapsed="false">
      <c r="B76" s="13" t="n">
        <v>72</v>
      </c>
      <c r="C76" s="14"/>
      <c r="D76" s="15"/>
      <c r="E76" s="16"/>
      <c r="F76" s="17"/>
      <c r="G76" s="10" t="str">
        <f aca="false">IF(D76="","",IF(D76="EarPods",1500,IF(D76="Button Phone",6000,IF(D76="Memory Card",1000,IF(D76="Charger",1200,IF(D76="Tripod Stand",4500,IF(D76="Selfie Stick",2500,IF(D76="Cables",800,IF(D76="Ringlight",8500,IF(D76="Speakers",5500,IF(D76="Wireless Mic",7000,IF(D76="Mouse",3200,IF(D76="Powerbanks",6000,IF(D76="Smartwatch",10000,""))))))))))))))</f>
        <v/>
      </c>
      <c r="H76" s="11" t="str">
        <f aca="false">IF(OR(F76="",G76=""),"",F76*G76)</f>
        <v/>
      </c>
      <c r="I76" s="18"/>
      <c r="J76" s="18"/>
    </row>
    <row r="77" customFormat="false" ht="18.75" hidden="false" customHeight="true" outlineLevel="0" collapsed="false">
      <c r="B77" s="5" t="n">
        <v>73</v>
      </c>
      <c r="C77" s="6"/>
      <c r="D77" s="7"/>
      <c r="E77" s="8"/>
      <c r="F77" s="9"/>
      <c r="G77" s="10" t="str">
        <f aca="false">IF(D77="","",IF(D77="EarPods",1500,IF(D77="Button Phone",6000,IF(D77="Memory Card",1000,IF(D77="Charger",1200,IF(D77="Tripod Stand",4500,IF(D77="Selfie Stick",2500,IF(D77="Cables",800,IF(D77="Ringlight",8500,IF(D77="Speakers",5500,IF(D77="Wireless Mic",7000,IF(D77="Mouse",3200,IF(D77="Powerbanks",6000,IF(D77="Smartwatch",10000,""))))))))))))))</f>
        <v/>
      </c>
      <c r="H77" s="11" t="str">
        <f aca="false">IF(OR(F77="",G77=""),"",F77*G77)</f>
        <v/>
      </c>
      <c r="I77" s="12"/>
      <c r="J77" s="12"/>
    </row>
    <row r="78" customFormat="false" ht="18.75" hidden="false" customHeight="true" outlineLevel="0" collapsed="false">
      <c r="B78" s="13" t="n">
        <v>74</v>
      </c>
      <c r="C78" s="14"/>
      <c r="D78" s="15"/>
      <c r="E78" s="16"/>
      <c r="F78" s="17"/>
      <c r="G78" s="10" t="str">
        <f aca="false">IF(D78="","",IF(D78="EarPods",1500,IF(D78="Button Phone",6000,IF(D78="Memory Card",1000,IF(D78="Charger",1200,IF(D78="Tripod Stand",4500,IF(D78="Selfie Stick",2500,IF(D78="Cables",800,IF(D78="Ringlight",8500,IF(D78="Speakers",5500,IF(D78="Wireless Mic",7000,IF(D78="Mouse",3200,IF(D78="Powerbanks",6000,IF(D78="Smartwatch",10000,""))))))))))))))</f>
        <v/>
      </c>
      <c r="H78" s="11" t="str">
        <f aca="false">IF(OR(F78="",G78=""),"",F78*G78)</f>
        <v/>
      </c>
      <c r="I78" s="18"/>
      <c r="J78" s="18"/>
    </row>
    <row r="79" customFormat="false" ht="18.75" hidden="false" customHeight="true" outlineLevel="0" collapsed="false">
      <c r="B79" s="5" t="n">
        <v>75</v>
      </c>
      <c r="C79" s="6"/>
      <c r="D79" s="7"/>
      <c r="E79" s="8"/>
      <c r="F79" s="9"/>
      <c r="G79" s="10" t="str">
        <f aca="false">IF(D79="","",IF(D79="EarPods",1500,IF(D79="Button Phone",6000,IF(D79="Memory Card",1000,IF(D79="Charger",1200,IF(D79="Tripod Stand",4500,IF(D79="Selfie Stick",2500,IF(D79="Cables",800,IF(D79="Ringlight",8500,IF(D79="Speakers",5500,IF(D79="Wireless Mic",7000,IF(D79="Mouse",3200,IF(D79="Powerbanks",6000,IF(D79="Smartwatch",10000,""))))))))))))))</f>
        <v/>
      </c>
      <c r="H79" s="11" t="str">
        <f aca="false">IF(OR(F79="",G79=""),"",F79*G79)</f>
        <v/>
      </c>
      <c r="I79" s="12"/>
      <c r="J79" s="12"/>
    </row>
    <row r="80" customFormat="false" ht="18.75" hidden="false" customHeight="true" outlineLevel="0" collapsed="false">
      <c r="B80" s="13" t="n">
        <v>76</v>
      </c>
      <c r="C80" s="14"/>
      <c r="D80" s="15"/>
      <c r="E80" s="16"/>
      <c r="F80" s="17"/>
      <c r="G80" s="10" t="str">
        <f aca="false">IF(D80="","",IF(D80="EarPods",1500,IF(D80="Button Phone",6000,IF(D80="Memory Card",1000,IF(D80="Charger",1200,IF(D80="Tripod Stand",4500,IF(D80="Selfie Stick",2500,IF(D80="Cables",800,IF(D80="Ringlight",8500,IF(D80="Speakers",5500,IF(D80="Wireless Mic",7000,IF(D80="Mouse",3200,IF(D80="Powerbanks",6000,IF(D80="Smartwatch",10000,""))))))))))))))</f>
        <v/>
      </c>
      <c r="H80" s="11" t="str">
        <f aca="false">IF(OR(F80="",G80=""),"",F80*G80)</f>
        <v/>
      </c>
      <c r="I80" s="18"/>
      <c r="J80" s="18"/>
    </row>
    <row r="81" customFormat="false" ht="18.75" hidden="false" customHeight="true" outlineLevel="0" collapsed="false">
      <c r="B81" s="5" t="n">
        <v>77</v>
      </c>
      <c r="C81" s="6"/>
      <c r="D81" s="7"/>
      <c r="E81" s="8"/>
      <c r="F81" s="9"/>
      <c r="G81" s="10" t="str">
        <f aca="false">IF(D81="","",IF(D81="EarPods",1500,IF(D81="Button Phone",6000,IF(D81="Memory Card",1000,IF(D81="Charger",1200,IF(D81="Tripod Stand",4500,IF(D81="Selfie Stick",2500,IF(D81="Cables",800,IF(D81="Ringlight",8500,IF(D81="Speakers",5500,IF(D81="Wireless Mic",7000,IF(D81="Mouse",3200,IF(D81="Powerbanks",6000,IF(D81="Smartwatch",10000,""))))))))))))))</f>
        <v/>
      </c>
      <c r="H81" s="11" t="str">
        <f aca="false">IF(OR(F81="",G81=""),"",F81*G81)</f>
        <v/>
      </c>
      <c r="I81" s="12"/>
      <c r="J81" s="12"/>
    </row>
    <row r="82" customFormat="false" ht="18.75" hidden="false" customHeight="true" outlineLevel="0" collapsed="false">
      <c r="B82" s="13" t="n">
        <v>78</v>
      </c>
      <c r="C82" s="14"/>
      <c r="D82" s="15"/>
      <c r="E82" s="16"/>
      <c r="F82" s="17"/>
      <c r="G82" s="10" t="str">
        <f aca="false">IF(D82="","",IF(D82="EarPods",1500,IF(D82="Button Phone",6000,IF(D82="Memory Card",1000,IF(D82="Charger",1200,IF(D82="Tripod Stand",4500,IF(D82="Selfie Stick",2500,IF(D82="Cables",800,IF(D82="Ringlight",8500,IF(D82="Speakers",5500,IF(D82="Wireless Mic",7000,IF(D82="Mouse",3200,IF(D82="Powerbanks",6000,IF(D82="Smartwatch",10000,""))))))))))))))</f>
        <v/>
      </c>
      <c r="H82" s="11" t="str">
        <f aca="false">IF(OR(F82="",G82=""),"",F82*G82)</f>
        <v/>
      </c>
      <c r="I82" s="18"/>
      <c r="J82" s="18"/>
    </row>
    <row r="83" customFormat="false" ht="18.75" hidden="false" customHeight="true" outlineLevel="0" collapsed="false">
      <c r="B83" s="5" t="n">
        <v>79</v>
      </c>
      <c r="C83" s="6"/>
      <c r="D83" s="7"/>
      <c r="E83" s="8"/>
      <c r="F83" s="9"/>
      <c r="G83" s="10" t="str">
        <f aca="false">IF(D83="","",IF(D83="EarPods",1500,IF(D83="Button Phone",6000,IF(D83="Memory Card",1000,IF(D83="Charger",1200,IF(D83="Tripod Stand",4500,IF(D83="Selfie Stick",2500,IF(D83="Cables",800,IF(D83="Ringlight",8500,IF(D83="Speakers",5500,IF(D83="Wireless Mic",7000,IF(D83="Mouse",3200,IF(D83="Powerbanks",6000,IF(D83="Smartwatch",10000,""))))))))))))))</f>
        <v/>
      </c>
      <c r="H83" s="11" t="str">
        <f aca="false">IF(OR(F83="",G83=""),"",F83*G83)</f>
        <v/>
      </c>
      <c r="I83" s="12"/>
      <c r="J83" s="12"/>
    </row>
    <row r="84" customFormat="false" ht="18.75" hidden="false" customHeight="true" outlineLevel="0" collapsed="false">
      <c r="B84" s="13" t="n">
        <v>80</v>
      </c>
      <c r="C84" s="14"/>
      <c r="D84" s="15"/>
      <c r="E84" s="16"/>
      <c r="F84" s="17"/>
      <c r="G84" s="10" t="str">
        <f aca="false">IF(D84="","",IF(D84="EarPods",1500,IF(D84="Button Phone",6000,IF(D84="Memory Card",1000,IF(D84="Charger",1200,IF(D84="Tripod Stand",4500,IF(D84="Selfie Stick",2500,IF(D84="Cables",800,IF(D84="Ringlight",8500,IF(D84="Speakers",5500,IF(D84="Wireless Mic",7000,IF(D84="Mouse",3200,IF(D84="Powerbanks",6000,IF(D84="Smartwatch",10000,""))))))))))))))</f>
        <v/>
      </c>
      <c r="H84" s="11" t="str">
        <f aca="false">IF(OR(F84="",G84=""),"",F84*G84)</f>
        <v/>
      </c>
      <c r="I84" s="18"/>
      <c r="J84" s="18"/>
    </row>
    <row r="85" customFormat="false" ht="18.75" hidden="false" customHeight="true" outlineLevel="0" collapsed="false">
      <c r="B85" s="5" t="n">
        <v>81</v>
      </c>
      <c r="C85" s="6"/>
      <c r="D85" s="7"/>
      <c r="E85" s="8"/>
      <c r="F85" s="9"/>
      <c r="G85" s="10" t="str">
        <f aca="false">IF(D85="","",IF(D85="EarPods",1500,IF(D85="Button Phone",6000,IF(D85="Memory Card",1000,IF(D85="Charger",1200,IF(D85="Tripod Stand",4500,IF(D85="Selfie Stick",2500,IF(D85="Cables",800,IF(D85="Ringlight",8500,IF(D85="Speakers",5500,IF(D85="Wireless Mic",7000,IF(D85="Mouse",3200,IF(D85="Powerbanks",6000,IF(D85="Smartwatch",10000,""))))))))))))))</f>
        <v/>
      </c>
      <c r="H85" s="11" t="str">
        <f aca="false">IF(OR(F85="",G85=""),"",F85*G85)</f>
        <v/>
      </c>
      <c r="I85" s="12"/>
      <c r="J85" s="12"/>
    </row>
    <row r="86" customFormat="false" ht="18.75" hidden="false" customHeight="true" outlineLevel="0" collapsed="false">
      <c r="B86" s="13" t="n">
        <v>82</v>
      </c>
      <c r="C86" s="14"/>
      <c r="D86" s="15"/>
      <c r="E86" s="16"/>
      <c r="F86" s="17"/>
      <c r="G86" s="10" t="str">
        <f aca="false">IF(D86="","",IF(D86="EarPods",1500,IF(D86="Button Phone",6000,IF(D86="Memory Card",1000,IF(D86="Charger",1200,IF(D86="Tripod Stand",4500,IF(D86="Selfie Stick",2500,IF(D86="Cables",800,IF(D86="Ringlight",8500,IF(D86="Speakers",5500,IF(D86="Wireless Mic",7000,IF(D86="Mouse",3200,IF(D86="Powerbanks",6000,IF(D86="Smartwatch",10000,""))))))))))))))</f>
        <v/>
      </c>
      <c r="H86" s="11" t="str">
        <f aca="false">IF(OR(F86="",G86=""),"",F86*G86)</f>
        <v/>
      </c>
      <c r="I86" s="18"/>
      <c r="J86" s="18"/>
    </row>
    <row r="87" customFormat="false" ht="18.75" hidden="false" customHeight="true" outlineLevel="0" collapsed="false">
      <c r="B87" s="5" t="n">
        <v>83</v>
      </c>
      <c r="C87" s="6"/>
      <c r="D87" s="7"/>
      <c r="E87" s="8"/>
      <c r="F87" s="9"/>
      <c r="G87" s="10" t="str">
        <f aca="false">IF(D87="","",IF(D87="EarPods",1500,IF(D87="Button Phone",6000,IF(D87="Memory Card",1000,IF(D87="Charger",1200,IF(D87="Tripod Stand",4500,IF(D87="Selfie Stick",2500,IF(D87="Cables",800,IF(D87="Ringlight",8500,IF(D87="Speakers",5500,IF(D87="Wireless Mic",7000,IF(D87="Mouse",3200,IF(D87="Powerbanks",6000,IF(D87="Smartwatch",10000,""))))))))))))))</f>
        <v/>
      </c>
      <c r="H87" s="11" t="str">
        <f aca="false">IF(OR(F87="",G87=""),"",F87*G87)</f>
        <v/>
      </c>
      <c r="I87" s="12"/>
      <c r="J87" s="12"/>
    </row>
    <row r="88" customFormat="false" ht="18.75" hidden="false" customHeight="true" outlineLevel="0" collapsed="false">
      <c r="B88" s="13" t="n">
        <v>84</v>
      </c>
      <c r="C88" s="14"/>
      <c r="D88" s="15"/>
      <c r="E88" s="16"/>
      <c r="F88" s="17"/>
      <c r="G88" s="10" t="str">
        <f aca="false">IF(D88="","",IF(D88="EarPods",1500,IF(D88="Button Phone",6000,IF(D88="Memory Card",1000,IF(D88="Charger",1200,IF(D88="Tripod Stand",4500,IF(D88="Selfie Stick",2500,IF(D88="Cables",800,IF(D88="Ringlight",8500,IF(D88="Speakers",5500,IF(D88="Wireless Mic",7000,IF(D88="Mouse",3200,IF(D88="Powerbanks",6000,IF(D88="Smartwatch",10000,""))))))))))))))</f>
        <v/>
      </c>
      <c r="H88" s="11" t="str">
        <f aca="false">IF(OR(F88="",G88=""),"",F88*G88)</f>
        <v/>
      </c>
      <c r="I88" s="18"/>
      <c r="J88" s="18"/>
    </row>
    <row r="89" customFormat="false" ht="18.75" hidden="false" customHeight="true" outlineLevel="0" collapsed="false">
      <c r="B89" s="5" t="n">
        <v>85</v>
      </c>
      <c r="C89" s="6"/>
      <c r="D89" s="7"/>
      <c r="E89" s="8"/>
      <c r="F89" s="9"/>
      <c r="G89" s="10" t="str">
        <f aca="false">IF(D89="","",IF(D89="EarPods",1500,IF(D89="Button Phone",6000,IF(D89="Memory Card",1000,IF(D89="Charger",1200,IF(D89="Tripod Stand",4500,IF(D89="Selfie Stick",2500,IF(D89="Cables",800,IF(D89="Ringlight",8500,IF(D89="Speakers",5500,IF(D89="Wireless Mic",7000,IF(D89="Mouse",3200,IF(D89="Powerbanks",6000,IF(D89="Smartwatch",10000,""))))))))))))))</f>
        <v/>
      </c>
      <c r="H89" s="11" t="str">
        <f aca="false">IF(OR(F89="",G89=""),"",F89*G89)</f>
        <v/>
      </c>
      <c r="I89" s="12"/>
      <c r="J89" s="12"/>
    </row>
    <row r="90" customFormat="false" ht="18.75" hidden="false" customHeight="true" outlineLevel="0" collapsed="false">
      <c r="B90" s="13" t="n">
        <v>86</v>
      </c>
      <c r="C90" s="14"/>
      <c r="D90" s="15"/>
      <c r="E90" s="16"/>
      <c r="F90" s="17"/>
      <c r="G90" s="10" t="str">
        <f aca="false">IF(D90="","",IF(D90="EarPods",1500,IF(D90="Button Phone",6000,IF(D90="Memory Card",1000,IF(D90="Charger",1200,IF(D90="Tripod Stand",4500,IF(D90="Selfie Stick",2500,IF(D90="Cables",800,IF(D90="Ringlight",8500,IF(D90="Speakers",5500,IF(D90="Wireless Mic",7000,IF(D90="Mouse",3200,IF(D90="Powerbanks",6000,IF(D90="Smartwatch",10000,""))))))))))))))</f>
        <v/>
      </c>
      <c r="H90" s="11" t="str">
        <f aca="false">IF(OR(F90="",G90=""),"",F90*G90)</f>
        <v/>
      </c>
      <c r="I90" s="18"/>
      <c r="J90" s="18"/>
    </row>
    <row r="91" customFormat="false" ht="18.75" hidden="false" customHeight="true" outlineLevel="0" collapsed="false">
      <c r="B91" s="5" t="n">
        <v>87</v>
      </c>
      <c r="C91" s="6"/>
      <c r="D91" s="7"/>
      <c r="E91" s="8"/>
      <c r="F91" s="9"/>
      <c r="G91" s="10" t="str">
        <f aca="false">IF(D91="","",IF(D91="EarPods",1500,IF(D91="Button Phone",6000,IF(D91="Memory Card",1000,IF(D91="Charger",1200,IF(D91="Tripod Stand",4500,IF(D91="Selfie Stick",2500,IF(D91="Cables",800,IF(D91="Ringlight",8500,IF(D91="Speakers",5500,IF(D91="Wireless Mic",7000,IF(D91="Mouse",3200,IF(D91="Powerbanks",6000,IF(D91="Smartwatch",10000,""))))))))))))))</f>
        <v/>
      </c>
      <c r="H91" s="11" t="str">
        <f aca="false">IF(OR(F91="",G91=""),"",F91*G91)</f>
        <v/>
      </c>
      <c r="I91" s="12"/>
      <c r="J91" s="12"/>
    </row>
    <row r="92" customFormat="false" ht="18.75" hidden="false" customHeight="true" outlineLevel="0" collapsed="false">
      <c r="B92" s="13" t="n">
        <v>88</v>
      </c>
      <c r="C92" s="14"/>
      <c r="D92" s="15"/>
      <c r="E92" s="16"/>
      <c r="F92" s="17"/>
      <c r="G92" s="10" t="str">
        <f aca="false">IF(D92="","",IF(D92="EarPods",1500,IF(D92="Button Phone",6000,IF(D92="Memory Card",1000,IF(D92="Charger",1200,IF(D92="Tripod Stand",4500,IF(D92="Selfie Stick",2500,IF(D92="Cables",800,IF(D92="Ringlight",8500,IF(D92="Speakers",5500,IF(D92="Wireless Mic",7000,IF(D92="Mouse",3200,IF(D92="Powerbanks",6000,IF(D92="Smartwatch",10000,""))))))))))))))</f>
        <v/>
      </c>
      <c r="H92" s="11" t="str">
        <f aca="false">IF(OR(F92="",G92=""),"",F92*G92)</f>
        <v/>
      </c>
      <c r="I92" s="18"/>
      <c r="J92" s="18"/>
    </row>
    <row r="93" customFormat="false" ht="18.75" hidden="false" customHeight="true" outlineLevel="0" collapsed="false">
      <c r="B93" s="5" t="n">
        <v>89</v>
      </c>
      <c r="C93" s="6"/>
      <c r="D93" s="7"/>
      <c r="E93" s="8"/>
      <c r="F93" s="9"/>
      <c r="G93" s="10" t="str">
        <f aca="false">IF(D93="","",IF(D93="EarPods",1500,IF(D93="Button Phone",6000,IF(D93="Memory Card",1000,IF(D93="Charger",1200,IF(D93="Tripod Stand",4500,IF(D93="Selfie Stick",2500,IF(D93="Cables",800,IF(D93="Ringlight",8500,IF(D93="Speakers",5500,IF(D93="Wireless Mic",7000,IF(D93="Mouse",3200,IF(D93="Powerbanks",6000,IF(D93="Smartwatch",10000,""))))))))))))))</f>
        <v/>
      </c>
      <c r="H93" s="11" t="str">
        <f aca="false">IF(OR(F93="",G93=""),"",F93*G93)</f>
        <v/>
      </c>
      <c r="I93" s="12"/>
      <c r="J93" s="12"/>
    </row>
    <row r="94" customFormat="false" ht="18.75" hidden="false" customHeight="true" outlineLevel="0" collapsed="false">
      <c r="B94" s="13" t="n">
        <v>90</v>
      </c>
      <c r="C94" s="14"/>
      <c r="D94" s="15"/>
      <c r="E94" s="16"/>
      <c r="F94" s="17"/>
      <c r="G94" s="10" t="str">
        <f aca="false">IF(D94="","",IF(D94="EarPods",1500,IF(D94="Button Phone",6000,IF(D94="Memory Card",1000,IF(D94="Charger",1200,IF(D94="Tripod Stand",4500,IF(D94="Selfie Stick",2500,IF(D94="Cables",800,IF(D94="Ringlight",8500,IF(D94="Speakers",5500,IF(D94="Wireless Mic",7000,IF(D94="Mouse",3200,IF(D94="Powerbanks",6000,IF(D94="Smartwatch",10000,""))))))))))))))</f>
        <v/>
      </c>
      <c r="H94" s="11" t="str">
        <f aca="false">IF(OR(F94="",G94=""),"",F94*G94)</f>
        <v/>
      </c>
      <c r="I94" s="18"/>
      <c r="J94" s="18"/>
    </row>
    <row r="95" customFormat="false" ht="18.75" hidden="false" customHeight="true" outlineLevel="0" collapsed="false">
      <c r="B95" s="5" t="n">
        <v>91</v>
      </c>
      <c r="C95" s="6"/>
      <c r="D95" s="7"/>
      <c r="E95" s="8"/>
      <c r="F95" s="9"/>
      <c r="G95" s="10" t="str">
        <f aca="false">IF(D95="","",IF(D95="EarPods",1500,IF(D95="Button Phone",6000,IF(D95="Memory Card",1000,IF(D95="Charger",1200,IF(D95="Tripod Stand",4500,IF(D95="Selfie Stick",2500,IF(D95="Cables",800,IF(D95="Ringlight",8500,IF(D95="Speakers",5500,IF(D95="Wireless Mic",7000,IF(D95="Mouse",3200,IF(D95="Powerbanks",6000,IF(D95="Smartwatch",10000,""))))))))))))))</f>
        <v/>
      </c>
      <c r="H95" s="11" t="str">
        <f aca="false">IF(OR(F95="",G95=""),"",F95*G95)</f>
        <v/>
      </c>
      <c r="I95" s="12"/>
      <c r="J95" s="12"/>
    </row>
    <row r="96" customFormat="false" ht="18.75" hidden="false" customHeight="true" outlineLevel="0" collapsed="false">
      <c r="B96" s="13" t="n">
        <v>92</v>
      </c>
      <c r="C96" s="14"/>
      <c r="D96" s="15"/>
      <c r="E96" s="16"/>
      <c r="F96" s="17"/>
      <c r="G96" s="10" t="str">
        <f aca="false">IF(D96="","",IF(D96="EarPods",1500,IF(D96="Button Phone",6000,IF(D96="Memory Card",1000,IF(D96="Charger",1200,IF(D96="Tripod Stand",4500,IF(D96="Selfie Stick",2500,IF(D96="Cables",800,IF(D96="Ringlight",8500,IF(D96="Speakers",5500,IF(D96="Wireless Mic",7000,IF(D96="Mouse",3200,IF(D96="Powerbanks",6000,IF(D96="Smartwatch",10000,""))))))))))))))</f>
        <v/>
      </c>
      <c r="H96" s="11" t="str">
        <f aca="false">IF(OR(F96="",G96=""),"",F96*G96)</f>
        <v/>
      </c>
      <c r="I96" s="18"/>
      <c r="J96" s="18"/>
    </row>
    <row r="97" customFormat="false" ht="18.75" hidden="false" customHeight="true" outlineLevel="0" collapsed="false">
      <c r="B97" s="5" t="n">
        <v>93</v>
      </c>
      <c r="C97" s="6"/>
      <c r="D97" s="7"/>
      <c r="E97" s="8"/>
      <c r="F97" s="9"/>
      <c r="G97" s="10" t="str">
        <f aca="false">IF(D97="","",IF(D97="EarPods",1500,IF(D97="Button Phone",6000,IF(D97="Memory Card",1000,IF(D97="Charger",1200,IF(D97="Tripod Stand",4500,IF(D97="Selfie Stick",2500,IF(D97="Cables",800,IF(D97="Ringlight",8500,IF(D97="Speakers",5500,IF(D97="Wireless Mic",7000,IF(D97="Mouse",3200,IF(D97="Powerbanks",6000,IF(D97="Smartwatch",10000,""))))))))))))))</f>
        <v/>
      </c>
      <c r="H97" s="11" t="str">
        <f aca="false">IF(OR(F97="",G97=""),"",F97*G97)</f>
        <v/>
      </c>
      <c r="I97" s="12"/>
      <c r="J97" s="12"/>
    </row>
    <row r="98" customFormat="false" ht="18.75" hidden="false" customHeight="true" outlineLevel="0" collapsed="false">
      <c r="B98" s="13" t="n">
        <v>94</v>
      </c>
      <c r="C98" s="14"/>
      <c r="D98" s="15"/>
      <c r="E98" s="16"/>
      <c r="F98" s="17"/>
      <c r="G98" s="10" t="str">
        <f aca="false">IF(D98="","",IF(D98="EarPods",1500,IF(D98="Button Phone",6000,IF(D98="Memory Card",1000,IF(D98="Charger",1200,IF(D98="Tripod Stand",4500,IF(D98="Selfie Stick",2500,IF(D98="Cables",800,IF(D98="Ringlight",8500,IF(D98="Speakers",5500,IF(D98="Wireless Mic",7000,IF(D98="Mouse",3200,IF(D98="Powerbanks",6000,IF(D98="Smartwatch",10000,""))))))))))))))</f>
        <v/>
      </c>
      <c r="H98" s="11" t="str">
        <f aca="false">IF(OR(F98="",G98=""),"",F98*G98)</f>
        <v/>
      </c>
      <c r="I98" s="18"/>
      <c r="J98" s="18"/>
    </row>
    <row r="99" customFormat="false" ht="18.75" hidden="false" customHeight="true" outlineLevel="0" collapsed="false">
      <c r="B99" s="5" t="n">
        <v>95</v>
      </c>
      <c r="C99" s="6"/>
      <c r="D99" s="7"/>
      <c r="E99" s="8"/>
      <c r="F99" s="9"/>
      <c r="G99" s="10" t="str">
        <f aca="false">IF(D99="","",IF(D99="EarPods",1500,IF(D99="Button Phone",6000,IF(D99="Memory Card",1000,IF(D99="Charger",1200,IF(D99="Tripod Stand",4500,IF(D99="Selfie Stick",2500,IF(D99="Cables",800,IF(D99="Ringlight",8500,IF(D99="Speakers",5500,IF(D99="Wireless Mic",7000,IF(D99="Mouse",3200,IF(D99="Powerbanks",6000,IF(D99="Smartwatch",10000,""))))))))))))))</f>
        <v/>
      </c>
      <c r="H99" s="11" t="str">
        <f aca="false">IF(OR(F99="",G99=""),"",F99*G99)</f>
        <v/>
      </c>
      <c r="I99" s="12"/>
      <c r="J99" s="12"/>
    </row>
    <row r="100" customFormat="false" ht="18.75" hidden="false" customHeight="true" outlineLevel="0" collapsed="false">
      <c r="B100" s="13" t="n">
        <v>96</v>
      </c>
      <c r="C100" s="14"/>
      <c r="D100" s="15"/>
      <c r="E100" s="16"/>
      <c r="F100" s="17"/>
      <c r="G100" s="10" t="str">
        <f aca="false">IF(D100="","",IF(D100="EarPods",1500,IF(D100="Button Phone",6000,IF(D100="Memory Card",1000,IF(D100="Charger",1200,IF(D100="Tripod Stand",4500,IF(D100="Selfie Stick",2500,IF(D100="Cables",800,IF(D100="Ringlight",8500,IF(D100="Speakers",5500,IF(D100="Wireless Mic",7000,IF(D100="Mouse",3200,IF(D100="Powerbanks",6000,IF(D100="Smartwatch",10000,""))))))))))))))</f>
        <v/>
      </c>
      <c r="H100" s="11" t="str">
        <f aca="false">IF(OR(F100="",G100=""),"",F100*G100)</f>
        <v/>
      </c>
      <c r="I100" s="18"/>
      <c r="J100" s="18"/>
    </row>
    <row r="101" customFormat="false" ht="18.75" hidden="false" customHeight="true" outlineLevel="0" collapsed="false">
      <c r="B101" s="5" t="n">
        <v>97</v>
      </c>
      <c r="C101" s="6"/>
      <c r="D101" s="7"/>
      <c r="E101" s="8"/>
      <c r="F101" s="9"/>
      <c r="G101" s="10" t="str">
        <f aca="false">IF(D101="","",IF(D101="EarPods",1500,IF(D101="Button Phone",6000,IF(D101="Memory Card",1000,IF(D101="Charger",1200,IF(D101="Tripod Stand",4500,IF(D101="Selfie Stick",2500,IF(D101="Cables",800,IF(D101="Ringlight",8500,IF(D101="Speakers",5500,IF(D101="Wireless Mic",7000,IF(D101="Mouse",3200,IF(D101="Powerbanks",6000,IF(D101="Smartwatch",10000,""))))))))))))))</f>
        <v/>
      </c>
      <c r="H101" s="11" t="str">
        <f aca="false">IF(OR(F101="",G101=""),"",F101*G101)</f>
        <v/>
      </c>
      <c r="I101" s="12"/>
      <c r="J101" s="12"/>
    </row>
    <row r="102" customFormat="false" ht="18.75" hidden="false" customHeight="true" outlineLevel="0" collapsed="false">
      <c r="B102" s="13" t="n">
        <v>98</v>
      </c>
      <c r="C102" s="14"/>
      <c r="D102" s="15"/>
      <c r="E102" s="16"/>
      <c r="F102" s="17"/>
      <c r="G102" s="10" t="str">
        <f aca="false">IF(D102="","",IF(D102="EarPods",1500,IF(D102="Button Phone",6000,IF(D102="Memory Card",1000,IF(D102="Charger",1200,IF(D102="Tripod Stand",4500,IF(D102="Selfie Stick",2500,IF(D102="Cables",800,IF(D102="Ringlight",8500,IF(D102="Speakers",5500,IF(D102="Wireless Mic",7000,IF(D102="Mouse",3200,IF(D102="Powerbanks",6000,IF(D102="Smartwatch",10000,""))))))))))))))</f>
        <v/>
      </c>
      <c r="H102" s="11" t="str">
        <f aca="false">IF(OR(F102="",G102=""),"",F102*G102)</f>
        <v/>
      </c>
      <c r="I102" s="18"/>
      <c r="J102" s="18"/>
    </row>
    <row r="103" customFormat="false" ht="18.75" hidden="false" customHeight="true" outlineLevel="0" collapsed="false">
      <c r="B103" s="5" t="n">
        <v>99</v>
      </c>
      <c r="C103" s="6"/>
      <c r="D103" s="7"/>
      <c r="E103" s="8"/>
      <c r="F103" s="9"/>
      <c r="G103" s="10" t="str">
        <f aca="false">IF(D103="","",IF(D103="EarPods",1500,IF(D103="Button Phone",6000,IF(D103="Memory Card",1000,IF(D103="Charger",1200,IF(D103="Tripod Stand",4500,IF(D103="Selfie Stick",2500,IF(D103="Cables",800,IF(D103="Ringlight",8500,IF(D103="Speakers",5500,IF(D103="Wireless Mic",7000,IF(D103="Mouse",3200,IF(D103="Powerbanks",6000,IF(D103="Smartwatch",10000,""))))))))))))))</f>
        <v/>
      </c>
      <c r="H103" s="11" t="str">
        <f aca="false">IF(OR(F103="",G103=""),"",F103*G103)</f>
        <v/>
      </c>
      <c r="I103" s="12"/>
      <c r="J103" s="12"/>
    </row>
    <row r="104" customFormat="false" ht="18.75" hidden="false" customHeight="true" outlineLevel="0" collapsed="false">
      <c r="B104" s="13" t="n">
        <v>100</v>
      </c>
      <c r="C104" s="14"/>
      <c r="D104" s="15"/>
      <c r="E104" s="16"/>
      <c r="F104" s="17"/>
      <c r="G104" s="10" t="str">
        <f aca="false">IF(D104="","",IF(D104="EarPods",1500,IF(D104="Button Phone",6000,IF(D104="Memory Card",1000,IF(D104="Charger",1200,IF(D104="Tripod Stand",4500,IF(D104="Selfie Stick",2500,IF(D104="Cables",800,IF(D104="Ringlight",8500,IF(D104="Speakers",5500,IF(D104="Wireless Mic",7000,IF(D104="Mouse",3200,IF(D104="Powerbanks",6000,IF(D104="Smartwatch",10000,""))))))))))))))</f>
        <v/>
      </c>
      <c r="H104" s="11" t="str">
        <f aca="false">IF(OR(F104="",G104=""),"",F104*G104)</f>
        <v/>
      </c>
      <c r="I104" s="18"/>
      <c r="J104" s="18"/>
    </row>
    <row r="105" customFormat="false" ht="18.75" hidden="false" customHeight="true" outlineLevel="0" collapsed="false">
      <c r="B105" s="5" t="n">
        <v>101</v>
      </c>
      <c r="C105" s="6"/>
      <c r="D105" s="7"/>
      <c r="E105" s="8"/>
      <c r="F105" s="9"/>
      <c r="G105" s="10" t="str">
        <f aca="false">IF(D105="","",IF(D105="EarPods",1500,IF(D105="Button Phone",6000,IF(D105="Memory Card",1000,IF(D105="Charger",1200,IF(D105="Tripod Stand",4500,IF(D105="Selfie Stick",2500,IF(D105="Cables",800,IF(D105="Ringlight",8500,IF(D105="Speakers",5500,IF(D105="Wireless Mic",7000,IF(D105="Mouse",3200,IF(D105="Powerbanks",6000,IF(D105="Smartwatch",10000,""))))))))))))))</f>
        <v/>
      </c>
      <c r="H105" s="11" t="str">
        <f aca="false">IF(OR(F105="",G105=""),"",F105*G105)</f>
        <v/>
      </c>
      <c r="I105" s="12"/>
      <c r="J105" s="12"/>
    </row>
    <row r="106" customFormat="false" ht="18.75" hidden="false" customHeight="true" outlineLevel="0" collapsed="false">
      <c r="B106" s="13" t="n">
        <v>102</v>
      </c>
      <c r="C106" s="14"/>
      <c r="D106" s="15"/>
      <c r="E106" s="16"/>
      <c r="F106" s="17"/>
      <c r="G106" s="10" t="str">
        <f aca="false">IF(D106="","",IF(D106="EarPods",1500,IF(D106="Button Phone",6000,IF(D106="Memory Card",1000,IF(D106="Charger",1200,IF(D106="Tripod Stand",4500,IF(D106="Selfie Stick",2500,IF(D106="Cables",800,IF(D106="Ringlight",8500,IF(D106="Speakers",5500,IF(D106="Wireless Mic",7000,IF(D106="Mouse",3200,IF(D106="Powerbanks",6000,IF(D106="Smartwatch",10000,""))))))))))))))</f>
        <v/>
      </c>
      <c r="H106" s="11" t="str">
        <f aca="false">IF(OR(F106="",G106=""),"",F106*G106)</f>
        <v/>
      </c>
      <c r="I106" s="18"/>
      <c r="J106" s="18"/>
    </row>
    <row r="107" customFormat="false" ht="18.75" hidden="false" customHeight="true" outlineLevel="0" collapsed="false">
      <c r="B107" s="5" t="n">
        <v>103</v>
      </c>
      <c r="C107" s="6"/>
      <c r="D107" s="7"/>
      <c r="E107" s="8"/>
      <c r="F107" s="9"/>
      <c r="G107" s="10" t="str">
        <f aca="false">IF(D107="","",IF(D107="EarPods",1500,IF(D107="Button Phone",6000,IF(D107="Memory Card",1000,IF(D107="Charger",1200,IF(D107="Tripod Stand",4500,IF(D107="Selfie Stick",2500,IF(D107="Cables",800,IF(D107="Ringlight",8500,IF(D107="Speakers",5500,IF(D107="Wireless Mic",7000,IF(D107="Mouse",3200,IF(D107="Powerbanks",6000,IF(D107="Smartwatch",10000,""))))))))))))))</f>
        <v/>
      </c>
      <c r="H107" s="11" t="str">
        <f aca="false">IF(OR(F107="",G107=""),"",F107*G107)</f>
        <v/>
      </c>
      <c r="I107" s="12"/>
      <c r="J107" s="12"/>
    </row>
    <row r="108" customFormat="false" ht="18.75" hidden="false" customHeight="true" outlineLevel="0" collapsed="false">
      <c r="B108" s="13" t="n">
        <v>104</v>
      </c>
      <c r="C108" s="14"/>
      <c r="D108" s="15"/>
      <c r="E108" s="16"/>
      <c r="F108" s="17"/>
      <c r="G108" s="10" t="str">
        <f aca="false">IF(D108="","",IF(D108="EarPods",1500,IF(D108="Button Phone",6000,IF(D108="Memory Card",1000,IF(D108="Charger",1200,IF(D108="Tripod Stand",4500,IF(D108="Selfie Stick",2500,IF(D108="Cables",800,IF(D108="Ringlight",8500,IF(D108="Speakers",5500,IF(D108="Wireless Mic",7000,IF(D108="Mouse",3200,IF(D108="Powerbanks",6000,IF(D108="Smartwatch",10000,""))))))))))))))</f>
        <v/>
      </c>
      <c r="H108" s="11" t="str">
        <f aca="false">IF(OR(F108="",G108=""),"",F108*G108)</f>
        <v/>
      </c>
      <c r="I108" s="18"/>
      <c r="J108" s="18"/>
    </row>
    <row r="109" customFormat="false" ht="18.75" hidden="false" customHeight="true" outlineLevel="0" collapsed="false">
      <c r="B109" s="5" t="n">
        <v>105</v>
      </c>
      <c r="C109" s="6"/>
      <c r="D109" s="7"/>
      <c r="E109" s="8"/>
      <c r="F109" s="9"/>
      <c r="G109" s="10" t="str">
        <f aca="false">IF(D109="","",IF(D109="EarPods",1500,IF(D109="Button Phone",6000,IF(D109="Memory Card",1000,IF(D109="Charger",1200,IF(D109="Tripod Stand",4500,IF(D109="Selfie Stick",2500,IF(D109="Cables",800,IF(D109="Ringlight",8500,IF(D109="Speakers",5500,IF(D109="Wireless Mic",7000,IF(D109="Mouse",3200,IF(D109="Powerbanks",6000,IF(D109="Smartwatch",10000,""))))))))))))))</f>
        <v/>
      </c>
      <c r="H109" s="11" t="str">
        <f aca="false">IF(OR(F109="",G109=""),"",F109*G109)</f>
        <v/>
      </c>
      <c r="I109" s="12"/>
      <c r="J109" s="12"/>
    </row>
    <row r="110" customFormat="false" ht="18.75" hidden="false" customHeight="true" outlineLevel="0" collapsed="false">
      <c r="B110" s="13" t="n">
        <v>106</v>
      </c>
      <c r="C110" s="14"/>
      <c r="D110" s="15"/>
      <c r="E110" s="16"/>
      <c r="F110" s="17"/>
      <c r="G110" s="10" t="str">
        <f aca="false">IF(D110="","",IF(D110="EarPods",1500,IF(D110="Button Phone",6000,IF(D110="Memory Card",1000,IF(D110="Charger",1200,IF(D110="Tripod Stand",4500,IF(D110="Selfie Stick",2500,IF(D110="Cables",800,IF(D110="Ringlight",8500,IF(D110="Speakers",5500,IF(D110="Wireless Mic",7000,IF(D110="Mouse",3200,IF(D110="Powerbanks",6000,IF(D110="Smartwatch",10000,""))))))))))))))</f>
        <v/>
      </c>
      <c r="H110" s="11" t="str">
        <f aca="false">IF(OR(F110="",G110=""),"",F110*G110)</f>
        <v/>
      </c>
      <c r="I110" s="18"/>
      <c r="J110" s="18"/>
    </row>
    <row r="111" customFormat="false" ht="18.75" hidden="false" customHeight="true" outlineLevel="0" collapsed="false">
      <c r="B111" s="5" t="n">
        <v>107</v>
      </c>
      <c r="C111" s="6"/>
      <c r="D111" s="7"/>
      <c r="E111" s="8"/>
      <c r="F111" s="9"/>
      <c r="G111" s="10" t="str">
        <f aca="false">IF(D111="","",IF(D111="EarPods",1500,IF(D111="Button Phone",6000,IF(D111="Memory Card",1000,IF(D111="Charger",1200,IF(D111="Tripod Stand",4500,IF(D111="Selfie Stick",2500,IF(D111="Cables",800,IF(D111="Ringlight",8500,IF(D111="Speakers",5500,IF(D111="Wireless Mic",7000,IF(D111="Mouse",3200,IF(D111="Powerbanks",6000,IF(D111="Smartwatch",10000,""))))))))))))))</f>
        <v/>
      </c>
      <c r="H111" s="11" t="str">
        <f aca="false">IF(OR(F111="",G111=""),"",F111*G111)</f>
        <v/>
      </c>
      <c r="I111" s="12"/>
      <c r="J111" s="12"/>
    </row>
    <row r="112" customFormat="false" ht="18.75" hidden="false" customHeight="true" outlineLevel="0" collapsed="false">
      <c r="B112" s="13" t="n">
        <v>108</v>
      </c>
      <c r="C112" s="14"/>
      <c r="D112" s="15"/>
      <c r="E112" s="16"/>
      <c r="F112" s="17"/>
      <c r="G112" s="10" t="str">
        <f aca="false">IF(D112="","",IF(D112="EarPods",1500,IF(D112="Button Phone",6000,IF(D112="Memory Card",1000,IF(D112="Charger",1200,IF(D112="Tripod Stand",4500,IF(D112="Selfie Stick",2500,IF(D112="Cables",800,IF(D112="Ringlight",8500,IF(D112="Speakers",5500,IF(D112="Wireless Mic",7000,IF(D112="Mouse",3200,IF(D112="Powerbanks",6000,IF(D112="Smartwatch",10000,""))))))))))))))</f>
        <v/>
      </c>
      <c r="H112" s="11" t="str">
        <f aca="false">IF(OR(F112="",G112=""),"",F112*G112)</f>
        <v/>
      </c>
      <c r="I112" s="18"/>
      <c r="J112" s="18"/>
    </row>
    <row r="113" customFormat="false" ht="18.75" hidden="false" customHeight="true" outlineLevel="0" collapsed="false">
      <c r="B113" s="5" t="n">
        <v>109</v>
      </c>
      <c r="C113" s="6"/>
      <c r="D113" s="7"/>
      <c r="E113" s="8"/>
      <c r="F113" s="9"/>
      <c r="G113" s="10" t="str">
        <f aca="false">IF(D113="","",IF(D113="EarPods",1500,IF(D113="Button Phone",6000,IF(D113="Memory Card",1000,IF(D113="Charger",1200,IF(D113="Tripod Stand",4500,IF(D113="Selfie Stick",2500,IF(D113="Cables",800,IF(D113="Ringlight",8500,IF(D113="Speakers",5500,IF(D113="Wireless Mic",7000,IF(D113="Mouse",3200,IF(D113="Powerbanks",6000,IF(D113="Smartwatch",10000,""))))))))))))))</f>
        <v/>
      </c>
      <c r="H113" s="11" t="str">
        <f aca="false">IF(OR(F113="",G113=""),"",F113*G113)</f>
        <v/>
      </c>
      <c r="I113" s="12"/>
      <c r="J113" s="12"/>
    </row>
    <row r="114" customFormat="false" ht="18.75" hidden="false" customHeight="true" outlineLevel="0" collapsed="false">
      <c r="B114" s="13" t="n">
        <v>110</v>
      </c>
      <c r="C114" s="14"/>
      <c r="D114" s="15"/>
      <c r="E114" s="16"/>
      <c r="F114" s="17"/>
      <c r="G114" s="10" t="str">
        <f aca="false">IF(D114="","",IF(D114="EarPods",1500,IF(D114="Button Phone",6000,IF(D114="Memory Card",1000,IF(D114="Charger",1200,IF(D114="Tripod Stand",4500,IF(D114="Selfie Stick",2500,IF(D114="Cables",800,IF(D114="Ringlight",8500,IF(D114="Speakers",5500,IF(D114="Wireless Mic",7000,IF(D114="Mouse",3200,IF(D114="Powerbanks",6000,IF(D114="Smartwatch",10000,""))))))))))))))</f>
        <v/>
      </c>
      <c r="H114" s="11" t="str">
        <f aca="false">IF(OR(F114="",G114=""),"",F114*G114)</f>
        <v/>
      </c>
      <c r="I114" s="18"/>
      <c r="J114" s="18"/>
    </row>
    <row r="115" customFormat="false" ht="18.75" hidden="false" customHeight="true" outlineLevel="0" collapsed="false">
      <c r="B115" s="5" t="n">
        <v>111</v>
      </c>
      <c r="C115" s="6"/>
      <c r="D115" s="7"/>
      <c r="E115" s="8"/>
      <c r="F115" s="9"/>
      <c r="G115" s="10" t="str">
        <f aca="false">IF(D115="","",IF(D115="EarPods",1500,IF(D115="Button Phone",6000,IF(D115="Memory Card",1000,IF(D115="Charger",1200,IF(D115="Tripod Stand",4500,IF(D115="Selfie Stick",2500,IF(D115="Cables",800,IF(D115="Ringlight",8500,IF(D115="Speakers",5500,IF(D115="Wireless Mic",7000,IF(D115="Mouse",3200,IF(D115="Powerbanks",6000,IF(D115="Smartwatch",10000,""))))))))))))))</f>
        <v/>
      </c>
      <c r="H115" s="11" t="str">
        <f aca="false">IF(OR(F115="",G115=""),"",F115*G115)</f>
        <v/>
      </c>
      <c r="I115" s="12"/>
      <c r="J115" s="12"/>
    </row>
    <row r="116" customFormat="false" ht="18.75" hidden="false" customHeight="true" outlineLevel="0" collapsed="false">
      <c r="B116" s="13" t="n">
        <v>112</v>
      </c>
      <c r="C116" s="14"/>
      <c r="D116" s="15"/>
      <c r="E116" s="16"/>
      <c r="F116" s="17"/>
      <c r="G116" s="10" t="str">
        <f aca="false">IF(D116="","",IF(D116="EarPods",1500,IF(D116="Button Phone",6000,IF(D116="Memory Card",1000,IF(D116="Charger",1200,IF(D116="Tripod Stand",4500,IF(D116="Selfie Stick",2500,IF(D116="Cables",800,IF(D116="Ringlight",8500,IF(D116="Speakers",5500,IF(D116="Wireless Mic",7000,IF(D116="Mouse",3200,IF(D116="Powerbanks",6000,IF(D116="Smartwatch",10000,""))))))))))))))</f>
        <v/>
      </c>
      <c r="H116" s="11" t="str">
        <f aca="false">IF(OR(F116="",G116=""),"",F116*G116)</f>
        <v/>
      </c>
      <c r="I116" s="18"/>
      <c r="J116" s="18"/>
    </row>
    <row r="117" customFormat="false" ht="18.75" hidden="false" customHeight="true" outlineLevel="0" collapsed="false">
      <c r="B117" s="5" t="n">
        <v>113</v>
      </c>
      <c r="C117" s="6"/>
      <c r="D117" s="7"/>
      <c r="E117" s="8"/>
      <c r="F117" s="9"/>
      <c r="G117" s="10" t="str">
        <f aca="false">IF(D117="","",IF(D117="EarPods",1500,IF(D117="Button Phone",6000,IF(D117="Memory Card",1000,IF(D117="Charger",1200,IF(D117="Tripod Stand",4500,IF(D117="Selfie Stick",2500,IF(D117="Cables",800,IF(D117="Ringlight",8500,IF(D117="Speakers",5500,IF(D117="Wireless Mic",7000,IF(D117="Mouse",3200,IF(D117="Powerbanks",6000,IF(D117="Smartwatch",10000,""))))))))))))))</f>
        <v/>
      </c>
      <c r="H117" s="11" t="str">
        <f aca="false">IF(OR(F117="",G117=""),"",F117*G117)</f>
        <v/>
      </c>
      <c r="I117" s="12"/>
      <c r="J117" s="12"/>
    </row>
    <row r="118" customFormat="false" ht="18.75" hidden="false" customHeight="true" outlineLevel="0" collapsed="false">
      <c r="B118" s="13" t="n">
        <v>114</v>
      </c>
      <c r="C118" s="14"/>
      <c r="D118" s="15"/>
      <c r="E118" s="16"/>
      <c r="F118" s="17"/>
      <c r="G118" s="10" t="str">
        <f aca="false">IF(D118="","",IF(D118="EarPods",1500,IF(D118="Button Phone",6000,IF(D118="Memory Card",1000,IF(D118="Charger",1200,IF(D118="Tripod Stand",4500,IF(D118="Selfie Stick",2500,IF(D118="Cables",800,IF(D118="Ringlight",8500,IF(D118="Speakers",5500,IF(D118="Wireless Mic",7000,IF(D118="Mouse",3200,IF(D118="Powerbanks",6000,IF(D118="Smartwatch",10000,""))))))))))))))</f>
        <v/>
      </c>
      <c r="H118" s="11" t="str">
        <f aca="false">IF(OR(F118="",G118=""),"",F118*G118)</f>
        <v/>
      </c>
      <c r="I118" s="18"/>
      <c r="J118" s="18"/>
    </row>
    <row r="119" customFormat="false" ht="18.75" hidden="false" customHeight="true" outlineLevel="0" collapsed="false">
      <c r="B119" s="5" t="n">
        <v>115</v>
      </c>
      <c r="C119" s="6"/>
      <c r="D119" s="7"/>
      <c r="E119" s="8"/>
      <c r="F119" s="9"/>
      <c r="G119" s="10" t="str">
        <f aca="false">IF(D119="","",IF(D119="EarPods",1500,IF(D119="Button Phone",6000,IF(D119="Memory Card",1000,IF(D119="Charger",1200,IF(D119="Tripod Stand",4500,IF(D119="Selfie Stick",2500,IF(D119="Cables",800,IF(D119="Ringlight",8500,IF(D119="Speakers",5500,IF(D119="Wireless Mic",7000,IF(D119="Mouse",3200,IF(D119="Powerbanks",6000,IF(D119="Smartwatch",10000,""))))))))))))))</f>
        <v/>
      </c>
      <c r="H119" s="11" t="str">
        <f aca="false">IF(OR(F119="",G119=""),"",F119*G119)</f>
        <v/>
      </c>
      <c r="I119" s="12"/>
      <c r="J119" s="12"/>
    </row>
    <row r="120" customFormat="false" ht="18.75" hidden="false" customHeight="true" outlineLevel="0" collapsed="false">
      <c r="B120" s="13" t="n">
        <v>116</v>
      </c>
      <c r="C120" s="14"/>
      <c r="D120" s="15"/>
      <c r="E120" s="16"/>
      <c r="F120" s="17"/>
      <c r="G120" s="10" t="str">
        <f aca="false">IF(D120="","",IF(D120="EarPods",1500,IF(D120="Button Phone",6000,IF(D120="Memory Card",1000,IF(D120="Charger",1200,IF(D120="Tripod Stand",4500,IF(D120="Selfie Stick",2500,IF(D120="Cables",800,IF(D120="Ringlight",8500,IF(D120="Speakers",5500,IF(D120="Wireless Mic",7000,IF(D120="Mouse",3200,IF(D120="Powerbanks",6000,IF(D120="Smartwatch",10000,""))))))))))))))</f>
        <v/>
      </c>
      <c r="H120" s="11" t="str">
        <f aca="false">IF(OR(F120="",G120=""),"",F120*G120)</f>
        <v/>
      </c>
      <c r="I120" s="18"/>
      <c r="J120" s="18"/>
    </row>
    <row r="121" customFormat="false" ht="18.75" hidden="false" customHeight="true" outlineLevel="0" collapsed="false">
      <c r="B121" s="5" t="n">
        <v>117</v>
      </c>
      <c r="C121" s="6"/>
      <c r="D121" s="7"/>
      <c r="E121" s="8"/>
      <c r="F121" s="9"/>
      <c r="G121" s="10" t="str">
        <f aca="false">IF(D121="","",IF(D121="EarPods",1500,IF(D121="Button Phone",6000,IF(D121="Memory Card",1000,IF(D121="Charger",1200,IF(D121="Tripod Stand",4500,IF(D121="Selfie Stick",2500,IF(D121="Cables",800,IF(D121="Ringlight",8500,IF(D121="Speakers",5500,IF(D121="Wireless Mic",7000,IF(D121="Mouse",3200,IF(D121="Powerbanks",6000,IF(D121="Smartwatch",10000,""))))))))))))))</f>
        <v/>
      </c>
      <c r="H121" s="11" t="str">
        <f aca="false">IF(OR(F121="",G121=""),"",F121*G121)</f>
        <v/>
      </c>
      <c r="I121" s="12"/>
      <c r="J121" s="12"/>
    </row>
    <row r="122" customFormat="false" ht="18.75" hidden="false" customHeight="true" outlineLevel="0" collapsed="false">
      <c r="B122" s="13" t="n">
        <v>118</v>
      </c>
      <c r="C122" s="14"/>
      <c r="D122" s="15"/>
      <c r="E122" s="16"/>
      <c r="F122" s="17"/>
      <c r="G122" s="10" t="str">
        <f aca="false">IF(D122="","",IF(D122="EarPods",1500,IF(D122="Button Phone",6000,IF(D122="Memory Card",1000,IF(D122="Charger",1200,IF(D122="Tripod Stand",4500,IF(D122="Selfie Stick",2500,IF(D122="Cables",800,IF(D122="Ringlight",8500,IF(D122="Speakers",5500,IF(D122="Wireless Mic",7000,IF(D122="Mouse",3200,IF(D122="Powerbanks",6000,IF(D122="Smartwatch",10000,""))))))))))))))</f>
        <v/>
      </c>
      <c r="H122" s="11" t="str">
        <f aca="false">IF(OR(F122="",G122=""),"",F122*G122)</f>
        <v/>
      </c>
      <c r="I122" s="18"/>
      <c r="J122" s="18"/>
    </row>
    <row r="123" customFormat="false" ht="18.75" hidden="false" customHeight="true" outlineLevel="0" collapsed="false">
      <c r="B123" s="5" t="n">
        <v>119</v>
      </c>
      <c r="C123" s="6"/>
      <c r="D123" s="7"/>
      <c r="E123" s="8"/>
      <c r="F123" s="9"/>
      <c r="G123" s="10" t="str">
        <f aca="false">IF(D123="","",IF(D123="EarPods",1500,IF(D123="Button Phone",6000,IF(D123="Memory Card",1000,IF(D123="Charger",1200,IF(D123="Tripod Stand",4500,IF(D123="Selfie Stick",2500,IF(D123="Cables",800,IF(D123="Ringlight",8500,IF(D123="Speakers",5500,IF(D123="Wireless Mic",7000,IF(D123="Mouse",3200,IF(D123="Powerbanks",6000,IF(D123="Smartwatch",10000,""))))))))))))))</f>
        <v/>
      </c>
      <c r="H123" s="11" t="str">
        <f aca="false">IF(OR(F123="",G123=""),"",F123*G123)</f>
        <v/>
      </c>
      <c r="I123" s="12"/>
      <c r="J123" s="12"/>
    </row>
    <row r="124" customFormat="false" ht="18.75" hidden="false" customHeight="true" outlineLevel="0" collapsed="false">
      <c r="B124" s="13" t="n">
        <v>120</v>
      </c>
      <c r="C124" s="14"/>
      <c r="D124" s="15"/>
      <c r="E124" s="16"/>
      <c r="F124" s="17"/>
      <c r="G124" s="10" t="str">
        <f aca="false">IF(D124="","",IF(D124="EarPods",1500,IF(D124="Button Phone",6000,IF(D124="Memory Card",1000,IF(D124="Charger",1200,IF(D124="Tripod Stand",4500,IF(D124="Selfie Stick",2500,IF(D124="Cables",800,IF(D124="Ringlight",8500,IF(D124="Speakers",5500,IF(D124="Wireless Mic",7000,IF(D124="Mouse",3200,IF(D124="Powerbanks",6000,IF(D124="Smartwatch",10000,""))))))))))))))</f>
        <v/>
      </c>
      <c r="H124" s="11" t="str">
        <f aca="false">IF(OR(F124="",G124=""),"",F124*G124)</f>
        <v/>
      </c>
      <c r="I124" s="18"/>
      <c r="J124" s="18"/>
    </row>
    <row r="125" customFormat="false" ht="18.75" hidden="false" customHeight="true" outlineLevel="0" collapsed="false">
      <c r="B125" s="5" t="n">
        <v>121</v>
      </c>
      <c r="C125" s="6"/>
      <c r="D125" s="7"/>
      <c r="E125" s="8"/>
      <c r="F125" s="9"/>
      <c r="G125" s="10" t="str">
        <f aca="false">IF(D125="","",IF(D125="EarPods",1500,IF(D125="Button Phone",6000,IF(D125="Memory Card",1000,IF(D125="Charger",1200,IF(D125="Tripod Stand",4500,IF(D125="Selfie Stick",2500,IF(D125="Cables",800,IF(D125="Ringlight",8500,IF(D125="Speakers",5500,IF(D125="Wireless Mic",7000,IF(D125="Mouse",3200,IF(D125="Powerbanks",6000,IF(D125="Smartwatch",10000,""))))))))))))))</f>
        <v/>
      </c>
      <c r="H125" s="11" t="str">
        <f aca="false">IF(OR(F125="",G125=""),"",F125*G125)</f>
        <v/>
      </c>
      <c r="I125" s="12"/>
      <c r="J125" s="12"/>
    </row>
    <row r="126" customFormat="false" ht="18.75" hidden="false" customHeight="true" outlineLevel="0" collapsed="false">
      <c r="B126" s="13" t="n">
        <v>122</v>
      </c>
      <c r="C126" s="14"/>
      <c r="D126" s="15"/>
      <c r="E126" s="16"/>
      <c r="F126" s="17"/>
      <c r="G126" s="10" t="str">
        <f aca="false">IF(D126="","",IF(D126="EarPods",1500,IF(D126="Button Phone",6000,IF(D126="Memory Card",1000,IF(D126="Charger",1200,IF(D126="Tripod Stand",4500,IF(D126="Selfie Stick",2500,IF(D126="Cables",800,IF(D126="Ringlight",8500,IF(D126="Speakers",5500,IF(D126="Wireless Mic",7000,IF(D126="Mouse",3200,IF(D126="Powerbanks",6000,IF(D126="Smartwatch",10000,""))))))))))))))</f>
        <v/>
      </c>
      <c r="H126" s="11" t="str">
        <f aca="false">IF(OR(F126="",G126=""),"",F126*G126)</f>
        <v/>
      </c>
      <c r="I126" s="18"/>
      <c r="J126" s="18"/>
    </row>
    <row r="127" customFormat="false" ht="18.75" hidden="false" customHeight="true" outlineLevel="0" collapsed="false">
      <c r="B127" s="5" t="n">
        <v>123</v>
      </c>
      <c r="C127" s="6"/>
      <c r="D127" s="7"/>
      <c r="E127" s="8"/>
      <c r="F127" s="9"/>
      <c r="G127" s="10" t="str">
        <f aca="false">IF(D127="","",IF(D127="EarPods",1500,IF(D127="Button Phone",6000,IF(D127="Memory Card",1000,IF(D127="Charger",1200,IF(D127="Tripod Stand",4500,IF(D127="Selfie Stick",2500,IF(D127="Cables",800,IF(D127="Ringlight",8500,IF(D127="Speakers",5500,IF(D127="Wireless Mic",7000,IF(D127="Mouse",3200,IF(D127="Powerbanks",6000,IF(D127="Smartwatch",10000,""))))))))))))))</f>
        <v/>
      </c>
      <c r="H127" s="11" t="str">
        <f aca="false">IF(OR(F127="",G127=""),"",F127*G127)</f>
        <v/>
      </c>
      <c r="I127" s="12"/>
      <c r="J127" s="12"/>
    </row>
    <row r="128" customFormat="false" ht="18.75" hidden="false" customHeight="true" outlineLevel="0" collapsed="false">
      <c r="B128" s="13" t="n">
        <v>124</v>
      </c>
      <c r="C128" s="14"/>
      <c r="D128" s="15"/>
      <c r="E128" s="16"/>
      <c r="F128" s="17"/>
      <c r="G128" s="10" t="str">
        <f aca="false">IF(D128="","",IF(D128="EarPods",1500,IF(D128="Button Phone",6000,IF(D128="Memory Card",1000,IF(D128="Charger",1200,IF(D128="Tripod Stand",4500,IF(D128="Selfie Stick",2500,IF(D128="Cables",800,IF(D128="Ringlight",8500,IF(D128="Speakers",5500,IF(D128="Wireless Mic",7000,IF(D128="Mouse",3200,IF(D128="Powerbanks",6000,IF(D128="Smartwatch",10000,""))))))))))))))</f>
        <v/>
      </c>
      <c r="H128" s="11" t="str">
        <f aca="false">IF(OR(F128="",G128=""),"",F128*G128)</f>
        <v/>
      </c>
      <c r="I128" s="18"/>
      <c r="J128" s="18"/>
    </row>
    <row r="129" customFormat="false" ht="18.75" hidden="false" customHeight="true" outlineLevel="0" collapsed="false">
      <c r="B129" s="5" t="n">
        <v>125</v>
      </c>
      <c r="C129" s="6"/>
      <c r="D129" s="7"/>
      <c r="E129" s="8"/>
      <c r="F129" s="9"/>
      <c r="G129" s="10" t="str">
        <f aca="false">IF(D129="","",IF(D129="EarPods",1500,IF(D129="Button Phone",6000,IF(D129="Memory Card",1000,IF(D129="Charger",1200,IF(D129="Tripod Stand",4500,IF(D129="Selfie Stick",2500,IF(D129="Cables",800,IF(D129="Ringlight",8500,IF(D129="Speakers",5500,IF(D129="Wireless Mic",7000,IF(D129="Mouse",3200,IF(D129="Powerbanks",6000,IF(D129="Smartwatch",10000,""))))))))))))))</f>
        <v/>
      </c>
      <c r="H129" s="11" t="str">
        <f aca="false">IF(OR(F129="",G129=""),"",F129*G129)</f>
        <v/>
      </c>
      <c r="I129" s="12"/>
      <c r="J129" s="12"/>
    </row>
    <row r="130" customFormat="false" ht="18.75" hidden="false" customHeight="true" outlineLevel="0" collapsed="false">
      <c r="B130" s="13" t="n">
        <v>126</v>
      </c>
      <c r="C130" s="14"/>
      <c r="D130" s="15"/>
      <c r="E130" s="16"/>
      <c r="F130" s="17"/>
      <c r="G130" s="10" t="str">
        <f aca="false">IF(D130="","",IF(D130="EarPods",1500,IF(D130="Button Phone",6000,IF(D130="Memory Card",1000,IF(D130="Charger",1200,IF(D130="Tripod Stand",4500,IF(D130="Selfie Stick",2500,IF(D130="Cables",800,IF(D130="Ringlight",8500,IF(D130="Speakers",5500,IF(D130="Wireless Mic",7000,IF(D130="Mouse",3200,IF(D130="Powerbanks",6000,IF(D130="Smartwatch",10000,""))))))))))))))</f>
        <v/>
      </c>
      <c r="H130" s="11" t="str">
        <f aca="false">IF(OR(F130="",G130=""),"",F130*G130)</f>
        <v/>
      </c>
      <c r="I130" s="18"/>
      <c r="J130" s="18"/>
    </row>
    <row r="131" customFormat="false" ht="18.75" hidden="false" customHeight="true" outlineLevel="0" collapsed="false">
      <c r="B131" s="5" t="n">
        <v>127</v>
      </c>
      <c r="C131" s="6"/>
      <c r="D131" s="7"/>
      <c r="E131" s="8"/>
      <c r="F131" s="9"/>
      <c r="G131" s="10" t="str">
        <f aca="false">IF(D131="","",IF(D131="EarPods",1500,IF(D131="Button Phone",6000,IF(D131="Memory Card",1000,IF(D131="Charger",1200,IF(D131="Tripod Stand",4500,IF(D131="Selfie Stick",2500,IF(D131="Cables",800,IF(D131="Ringlight",8500,IF(D131="Speakers",5500,IF(D131="Wireless Mic",7000,IF(D131="Mouse",3200,IF(D131="Powerbanks",6000,IF(D131="Smartwatch",10000,""))))))))))))))</f>
        <v/>
      </c>
      <c r="H131" s="11" t="str">
        <f aca="false">IF(OR(F131="",G131=""),"",F131*G131)</f>
        <v/>
      </c>
      <c r="I131" s="12"/>
      <c r="J131" s="12"/>
    </row>
    <row r="132" customFormat="false" ht="18.75" hidden="false" customHeight="true" outlineLevel="0" collapsed="false">
      <c r="B132" s="13" t="n">
        <v>128</v>
      </c>
      <c r="C132" s="14"/>
      <c r="D132" s="15"/>
      <c r="E132" s="16"/>
      <c r="F132" s="17"/>
      <c r="G132" s="10" t="str">
        <f aca="false">IF(D132="","",IF(D132="EarPods",1500,IF(D132="Button Phone",6000,IF(D132="Memory Card",1000,IF(D132="Charger",1200,IF(D132="Tripod Stand",4500,IF(D132="Selfie Stick",2500,IF(D132="Cables",800,IF(D132="Ringlight",8500,IF(D132="Speakers",5500,IF(D132="Wireless Mic",7000,IF(D132="Mouse",3200,IF(D132="Powerbanks",6000,IF(D132="Smartwatch",10000,""))))))))))))))</f>
        <v/>
      </c>
      <c r="H132" s="11" t="str">
        <f aca="false">IF(OR(F132="",G132=""),"",F132*G132)</f>
        <v/>
      </c>
      <c r="I132" s="18"/>
      <c r="J132" s="18"/>
    </row>
    <row r="133" customFormat="false" ht="18.75" hidden="false" customHeight="true" outlineLevel="0" collapsed="false">
      <c r="B133" s="5" t="n">
        <v>129</v>
      </c>
      <c r="C133" s="6"/>
      <c r="D133" s="7"/>
      <c r="E133" s="8"/>
      <c r="F133" s="9"/>
      <c r="G133" s="10" t="str">
        <f aca="false">IF(D133="","",IF(D133="EarPods",1500,IF(D133="Button Phone",6000,IF(D133="Memory Card",1000,IF(D133="Charger",1200,IF(D133="Tripod Stand",4500,IF(D133="Selfie Stick",2500,IF(D133="Cables",800,IF(D133="Ringlight",8500,IF(D133="Speakers",5500,IF(D133="Wireless Mic",7000,IF(D133="Mouse",3200,IF(D133="Powerbanks",6000,IF(D133="Smartwatch",10000,""))))))))))))))</f>
        <v/>
      </c>
      <c r="H133" s="11" t="str">
        <f aca="false">IF(OR(F133="",G133=""),"",F133*G133)</f>
        <v/>
      </c>
      <c r="I133" s="12"/>
      <c r="J133" s="12"/>
    </row>
    <row r="134" customFormat="false" ht="18.75" hidden="false" customHeight="true" outlineLevel="0" collapsed="false">
      <c r="B134" s="13" t="n">
        <v>130</v>
      </c>
      <c r="C134" s="14"/>
      <c r="D134" s="15"/>
      <c r="E134" s="16"/>
      <c r="F134" s="17"/>
      <c r="G134" s="10" t="str">
        <f aca="false">IF(D134="","",IF(D134="EarPods",1500,IF(D134="Button Phone",6000,IF(D134="Memory Card",1000,IF(D134="Charger",1200,IF(D134="Tripod Stand",4500,IF(D134="Selfie Stick",2500,IF(D134="Cables",800,IF(D134="Ringlight",8500,IF(D134="Speakers",5500,IF(D134="Wireless Mic",7000,IF(D134="Mouse",3200,IF(D134="Powerbanks",6000,IF(D134="Smartwatch",10000,""))))))))))))))</f>
        <v/>
      </c>
      <c r="H134" s="11" t="str">
        <f aca="false">IF(OR(F134="",G134=""),"",F134*G134)</f>
        <v/>
      </c>
      <c r="I134" s="18"/>
      <c r="J134" s="18"/>
    </row>
    <row r="135" customFormat="false" ht="18.75" hidden="false" customHeight="true" outlineLevel="0" collapsed="false">
      <c r="B135" s="5" t="n">
        <v>131</v>
      </c>
      <c r="C135" s="6"/>
      <c r="D135" s="7"/>
      <c r="E135" s="8"/>
      <c r="F135" s="9"/>
      <c r="G135" s="10" t="str">
        <f aca="false">IF(D135="","",IF(D135="EarPods",1500,IF(D135="Button Phone",6000,IF(D135="Memory Card",1000,IF(D135="Charger",1200,IF(D135="Tripod Stand",4500,IF(D135="Selfie Stick",2500,IF(D135="Cables",800,IF(D135="Ringlight",8500,IF(D135="Speakers",5500,IF(D135="Wireless Mic",7000,IF(D135="Mouse",3200,IF(D135="Powerbanks",6000,IF(D135="Smartwatch",10000,""))))))))))))))</f>
        <v/>
      </c>
      <c r="H135" s="11" t="str">
        <f aca="false">IF(OR(F135="",G135=""),"",F135*G135)</f>
        <v/>
      </c>
      <c r="I135" s="12"/>
      <c r="J135" s="12"/>
    </row>
    <row r="136" customFormat="false" ht="18.75" hidden="false" customHeight="true" outlineLevel="0" collapsed="false">
      <c r="B136" s="13" t="n">
        <v>132</v>
      </c>
      <c r="C136" s="14"/>
      <c r="D136" s="15"/>
      <c r="E136" s="16"/>
      <c r="F136" s="17"/>
      <c r="G136" s="10" t="str">
        <f aca="false">IF(D136="","",IF(D136="EarPods",1500,IF(D136="Button Phone",6000,IF(D136="Memory Card",1000,IF(D136="Charger",1200,IF(D136="Tripod Stand",4500,IF(D136="Selfie Stick",2500,IF(D136="Cables",800,IF(D136="Ringlight",8500,IF(D136="Speakers",5500,IF(D136="Wireless Mic",7000,IF(D136="Mouse",3200,IF(D136="Powerbanks",6000,IF(D136="Smartwatch",10000,""))))))))))))))</f>
        <v/>
      </c>
      <c r="H136" s="11" t="str">
        <f aca="false">IF(OR(F136="",G136=""),"",F136*G136)</f>
        <v/>
      </c>
      <c r="I136" s="18"/>
      <c r="J136" s="18"/>
    </row>
    <row r="137" customFormat="false" ht="18.75" hidden="false" customHeight="true" outlineLevel="0" collapsed="false">
      <c r="B137" s="5" t="n">
        <v>133</v>
      </c>
      <c r="C137" s="6"/>
      <c r="D137" s="7"/>
      <c r="E137" s="8"/>
      <c r="F137" s="9"/>
      <c r="G137" s="10" t="str">
        <f aca="false">IF(D137="","",IF(D137="EarPods",1500,IF(D137="Button Phone",6000,IF(D137="Memory Card",1000,IF(D137="Charger",1200,IF(D137="Tripod Stand",4500,IF(D137="Selfie Stick",2500,IF(D137="Cables",800,IF(D137="Ringlight",8500,IF(D137="Speakers",5500,IF(D137="Wireless Mic",7000,IF(D137="Mouse",3200,IF(D137="Powerbanks",6000,IF(D137="Smartwatch",10000,""))))))))))))))</f>
        <v/>
      </c>
      <c r="H137" s="11" t="str">
        <f aca="false">IF(OR(F137="",G137=""),"",F137*G137)</f>
        <v/>
      </c>
      <c r="I137" s="12"/>
      <c r="J137" s="12"/>
    </row>
    <row r="138" customFormat="false" ht="18.75" hidden="false" customHeight="true" outlineLevel="0" collapsed="false">
      <c r="B138" s="13" t="n">
        <v>134</v>
      </c>
      <c r="C138" s="14"/>
      <c r="D138" s="15"/>
      <c r="E138" s="16"/>
      <c r="F138" s="17"/>
      <c r="G138" s="10" t="str">
        <f aca="false">IF(D138="","",IF(D138="EarPods",1500,IF(D138="Button Phone",6000,IF(D138="Memory Card",1000,IF(D138="Charger",1200,IF(D138="Tripod Stand",4500,IF(D138="Selfie Stick",2500,IF(D138="Cables",800,IF(D138="Ringlight",8500,IF(D138="Speakers",5500,IF(D138="Wireless Mic",7000,IF(D138="Mouse",3200,IF(D138="Powerbanks",6000,IF(D138="Smartwatch",10000,""))))))))))))))</f>
        <v/>
      </c>
      <c r="H138" s="11" t="str">
        <f aca="false">IF(OR(F138="",G138=""),"",F138*G138)</f>
        <v/>
      </c>
      <c r="I138" s="18"/>
      <c r="J138" s="18"/>
    </row>
    <row r="139" customFormat="false" ht="18.75" hidden="false" customHeight="true" outlineLevel="0" collapsed="false">
      <c r="B139" s="5" t="n">
        <v>135</v>
      </c>
      <c r="C139" s="6"/>
      <c r="D139" s="7"/>
      <c r="E139" s="8"/>
      <c r="F139" s="9"/>
      <c r="G139" s="10" t="str">
        <f aca="false">IF(D139="","",IF(D139="EarPods",1500,IF(D139="Button Phone",6000,IF(D139="Memory Card",1000,IF(D139="Charger",1200,IF(D139="Tripod Stand",4500,IF(D139="Selfie Stick",2500,IF(D139="Cables",800,IF(D139="Ringlight",8500,IF(D139="Speakers",5500,IF(D139="Wireless Mic",7000,IF(D139="Mouse",3200,IF(D139="Powerbanks",6000,IF(D139="Smartwatch",10000,""))))))))))))))</f>
        <v/>
      </c>
      <c r="H139" s="11" t="str">
        <f aca="false">IF(OR(F139="",G139=""),"",F139*G139)</f>
        <v/>
      </c>
      <c r="I139" s="12"/>
      <c r="J139" s="12"/>
    </row>
    <row r="140" customFormat="false" ht="18.75" hidden="false" customHeight="true" outlineLevel="0" collapsed="false">
      <c r="B140" s="13" t="n">
        <v>136</v>
      </c>
      <c r="C140" s="14"/>
      <c r="D140" s="15"/>
      <c r="E140" s="16"/>
      <c r="F140" s="17"/>
      <c r="G140" s="10" t="str">
        <f aca="false">IF(D140="","",IF(D140="EarPods",1500,IF(D140="Button Phone",6000,IF(D140="Memory Card",1000,IF(D140="Charger",1200,IF(D140="Tripod Stand",4500,IF(D140="Selfie Stick",2500,IF(D140="Cables",800,IF(D140="Ringlight",8500,IF(D140="Speakers",5500,IF(D140="Wireless Mic",7000,IF(D140="Mouse",3200,IF(D140="Powerbanks",6000,IF(D140="Smartwatch",10000,""))))))))))))))</f>
        <v/>
      </c>
      <c r="H140" s="11" t="str">
        <f aca="false">IF(OR(F140="",G140=""),"",F140*G140)</f>
        <v/>
      </c>
      <c r="I140" s="18"/>
      <c r="J140" s="18"/>
    </row>
    <row r="141" customFormat="false" ht="18.75" hidden="false" customHeight="true" outlineLevel="0" collapsed="false">
      <c r="B141" s="5" t="n">
        <v>137</v>
      </c>
      <c r="C141" s="6"/>
      <c r="D141" s="7"/>
      <c r="E141" s="8"/>
      <c r="F141" s="9"/>
      <c r="G141" s="10" t="str">
        <f aca="false">IF(D141="","",IF(D141="EarPods",1500,IF(D141="Button Phone",6000,IF(D141="Memory Card",1000,IF(D141="Charger",1200,IF(D141="Tripod Stand",4500,IF(D141="Selfie Stick",2500,IF(D141="Cables",800,IF(D141="Ringlight",8500,IF(D141="Speakers",5500,IF(D141="Wireless Mic",7000,IF(D141="Mouse",3200,IF(D141="Powerbanks",6000,IF(D141="Smartwatch",10000,""))))))))))))))</f>
        <v/>
      </c>
      <c r="H141" s="11" t="str">
        <f aca="false">IF(OR(F141="",G141=""),"",F141*G141)</f>
        <v/>
      </c>
      <c r="I141" s="12"/>
      <c r="J141" s="12"/>
    </row>
    <row r="142" customFormat="false" ht="18.75" hidden="false" customHeight="true" outlineLevel="0" collapsed="false">
      <c r="B142" s="13" t="n">
        <v>138</v>
      </c>
      <c r="C142" s="14"/>
      <c r="D142" s="15"/>
      <c r="E142" s="16"/>
      <c r="F142" s="17"/>
      <c r="G142" s="10" t="str">
        <f aca="false">IF(D142="","",IF(D142="EarPods",1500,IF(D142="Button Phone",6000,IF(D142="Memory Card",1000,IF(D142="Charger",1200,IF(D142="Tripod Stand",4500,IF(D142="Selfie Stick",2500,IF(D142="Cables",800,IF(D142="Ringlight",8500,IF(D142="Speakers",5500,IF(D142="Wireless Mic",7000,IF(D142="Mouse",3200,IF(D142="Powerbanks",6000,IF(D142="Smartwatch",10000,""))))))))))))))</f>
        <v/>
      </c>
      <c r="H142" s="11" t="str">
        <f aca="false">IF(OR(F142="",G142=""),"",F142*G142)</f>
        <v/>
      </c>
      <c r="I142" s="18"/>
      <c r="J142" s="18"/>
    </row>
    <row r="143" customFormat="false" ht="18.75" hidden="false" customHeight="true" outlineLevel="0" collapsed="false">
      <c r="B143" s="5" t="n">
        <v>139</v>
      </c>
      <c r="C143" s="6"/>
      <c r="D143" s="7"/>
      <c r="E143" s="8"/>
      <c r="F143" s="9"/>
      <c r="G143" s="10" t="str">
        <f aca="false">IF(D143="","",IF(D143="EarPods",1500,IF(D143="Button Phone",6000,IF(D143="Memory Card",1000,IF(D143="Charger",1200,IF(D143="Tripod Stand",4500,IF(D143="Selfie Stick",2500,IF(D143="Cables",800,IF(D143="Ringlight",8500,IF(D143="Speakers",5500,IF(D143="Wireless Mic",7000,IF(D143="Mouse",3200,IF(D143="Powerbanks",6000,IF(D143="Smartwatch",10000,""))))))))))))))</f>
        <v/>
      </c>
      <c r="H143" s="11" t="str">
        <f aca="false">IF(OR(F143="",G143=""),"",F143*G143)</f>
        <v/>
      </c>
      <c r="I143" s="12"/>
      <c r="J143" s="12"/>
    </row>
    <row r="144" customFormat="false" ht="18.75" hidden="false" customHeight="true" outlineLevel="0" collapsed="false">
      <c r="B144" s="13" t="n">
        <v>140</v>
      </c>
      <c r="C144" s="14"/>
      <c r="D144" s="15"/>
      <c r="E144" s="16"/>
      <c r="F144" s="17"/>
      <c r="G144" s="10" t="str">
        <f aca="false">IF(D144="","",IF(D144="EarPods",1500,IF(D144="Button Phone",6000,IF(D144="Memory Card",1000,IF(D144="Charger",1200,IF(D144="Tripod Stand",4500,IF(D144="Selfie Stick",2500,IF(D144="Cables",800,IF(D144="Ringlight",8500,IF(D144="Speakers",5500,IF(D144="Wireless Mic",7000,IF(D144="Mouse",3200,IF(D144="Powerbanks",6000,IF(D144="Smartwatch",10000,""))))))))))))))</f>
        <v/>
      </c>
      <c r="H144" s="11" t="str">
        <f aca="false">IF(OR(F144="",G144=""),"",F144*G144)</f>
        <v/>
      </c>
      <c r="I144" s="18"/>
      <c r="J144" s="18"/>
    </row>
    <row r="145" customFormat="false" ht="18.75" hidden="false" customHeight="true" outlineLevel="0" collapsed="false">
      <c r="B145" s="5" t="n">
        <v>141</v>
      </c>
      <c r="C145" s="6"/>
      <c r="D145" s="7"/>
      <c r="E145" s="8"/>
      <c r="F145" s="9"/>
      <c r="G145" s="10" t="str">
        <f aca="false">IF(D145="","",IF(D145="EarPods",1500,IF(D145="Button Phone",6000,IF(D145="Memory Card",1000,IF(D145="Charger",1200,IF(D145="Tripod Stand",4500,IF(D145="Selfie Stick",2500,IF(D145="Cables",800,IF(D145="Ringlight",8500,IF(D145="Speakers",5500,IF(D145="Wireless Mic",7000,IF(D145="Mouse",3200,IF(D145="Powerbanks",6000,IF(D145="Smartwatch",10000,""))))))))))))))</f>
        <v/>
      </c>
      <c r="H145" s="11" t="str">
        <f aca="false">IF(OR(F145="",G145=""),"",F145*G145)</f>
        <v/>
      </c>
      <c r="I145" s="12"/>
      <c r="J145" s="12"/>
    </row>
    <row r="146" customFormat="false" ht="18.75" hidden="false" customHeight="true" outlineLevel="0" collapsed="false">
      <c r="B146" s="13" t="n">
        <v>142</v>
      </c>
      <c r="C146" s="14"/>
      <c r="D146" s="15"/>
      <c r="E146" s="16"/>
      <c r="F146" s="17"/>
      <c r="G146" s="10" t="str">
        <f aca="false">IF(D146="","",IF(D146="EarPods",1500,IF(D146="Button Phone",6000,IF(D146="Memory Card",1000,IF(D146="Charger",1200,IF(D146="Tripod Stand",4500,IF(D146="Selfie Stick",2500,IF(D146="Cables",800,IF(D146="Ringlight",8500,IF(D146="Speakers",5500,IF(D146="Wireless Mic",7000,IF(D146="Mouse",3200,IF(D146="Powerbanks",6000,IF(D146="Smartwatch",10000,""))))))))))))))</f>
        <v/>
      </c>
      <c r="H146" s="11" t="str">
        <f aca="false">IF(OR(F146="",G146=""),"",F146*G146)</f>
        <v/>
      </c>
      <c r="I146" s="18"/>
      <c r="J146" s="18"/>
    </row>
    <row r="147" customFormat="false" ht="18.75" hidden="false" customHeight="true" outlineLevel="0" collapsed="false">
      <c r="B147" s="5" t="n">
        <v>143</v>
      </c>
      <c r="C147" s="6"/>
      <c r="D147" s="7"/>
      <c r="E147" s="8"/>
      <c r="F147" s="9"/>
      <c r="G147" s="10" t="str">
        <f aca="false">IF(D147="","",IF(D147="EarPods",1500,IF(D147="Button Phone",6000,IF(D147="Memory Card",1000,IF(D147="Charger",1200,IF(D147="Tripod Stand",4500,IF(D147="Selfie Stick",2500,IF(D147="Cables",800,IF(D147="Ringlight",8500,IF(D147="Speakers",5500,IF(D147="Wireless Mic",7000,IF(D147="Mouse",3200,IF(D147="Powerbanks",6000,IF(D147="Smartwatch",10000,""))))))))))))))</f>
        <v/>
      </c>
      <c r="H147" s="11" t="str">
        <f aca="false">IF(OR(F147="",G147=""),"",F147*G147)</f>
        <v/>
      </c>
      <c r="I147" s="12"/>
      <c r="J147" s="12"/>
    </row>
    <row r="148" customFormat="false" ht="18.75" hidden="false" customHeight="true" outlineLevel="0" collapsed="false">
      <c r="B148" s="13" t="n">
        <v>144</v>
      </c>
      <c r="C148" s="14"/>
      <c r="D148" s="15"/>
      <c r="E148" s="16"/>
      <c r="F148" s="17"/>
      <c r="G148" s="10" t="str">
        <f aca="false">IF(D148="","",IF(D148="EarPods",1500,IF(D148="Button Phone",6000,IF(D148="Memory Card",1000,IF(D148="Charger",1200,IF(D148="Tripod Stand",4500,IF(D148="Selfie Stick",2500,IF(D148="Cables",800,IF(D148="Ringlight",8500,IF(D148="Speakers",5500,IF(D148="Wireless Mic",7000,IF(D148="Mouse",3200,IF(D148="Powerbanks",6000,IF(D148="Smartwatch",10000,""))))))))))))))</f>
        <v/>
      </c>
      <c r="H148" s="11" t="str">
        <f aca="false">IF(OR(F148="",G148=""),"",F148*G148)</f>
        <v/>
      </c>
      <c r="I148" s="18"/>
      <c r="J148" s="18"/>
    </row>
    <row r="149" customFormat="false" ht="18.75" hidden="false" customHeight="true" outlineLevel="0" collapsed="false">
      <c r="B149" s="5" t="n">
        <v>145</v>
      </c>
      <c r="C149" s="6"/>
      <c r="D149" s="7"/>
      <c r="E149" s="8"/>
      <c r="F149" s="9"/>
      <c r="G149" s="10" t="str">
        <f aca="false">IF(D149="","",IF(D149="EarPods",1500,IF(D149="Button Phone",6000,IF(D149="Memory Card",1000,IF(D149="Charger",1200,IF(D149="Tripod Stand",4500,IF(D149="Selfie Stick",2500,IF(D149="Cables",800,IF(D149="Ringlight",8500,IF(D149="Speakers",5500,IF(D149="Wireless Mic",7000,IF(D149="Mouse",3200,IF(D149="Powerbanks",6000,IF(D149="Smartwatch",10000,""))))))))))))))</f>
        <v/>
      </c>
      <c r="H149" s="11" t="str">
        <f aca="false">IF(OR(F149="",G149=""),"",F149*G149)</f>
        <v/>
      </c>
      <c r="I149" s="12"/>
      <c r="J149" s="12"/>
    </row>
    <row r="150" customFormat="false" ht="18.75" hidden="false" customHeight="true" outlineLevel="0" collapsed="false">
      <c r="B150" s="13" t="n">
        <v>146</v>
      </c>
      <c r="C150" s="14"/>
      <c r="D150" s="15"/>
      <c r="E150" s="16"/>
      <c r="F150" s="17"/>
      <c r="G150" s="10" t="str">
        <f aca="false">IF(D150="","",IF(D150="EarPods",1500,IF(D150="Button Phone",6000,IF(D150="Memory Card",1000,IF(D150="Charger",1200,IF(D150="Tripod Stand",4500,IF(D150="Selfie Stick",2500,IF(D150="Cables",800,IF(D150="Ringlight",8500,IF(D150="Speakers",5500,IF(D150="Wireless Mic",7000,IF(D150="Mouse",3200,IF(D150="Powerbanks",6000,IF(D150="Smartwatch",10000,""))))))))))))))</f>
        <v/>
      </c>
      <c r="H150" s="11" t="str">
        <f aca="false">IF(OR(F150="",G150=""),"",F150*G150)</f>
        <v/>
      </c>
      <c r="I150" s="18"/>
      <c r="J150" s="18"/>
    </row>
    <row r="151" customFormat="false" ht="18.75" hidden="false" customHeight="true" outlineLevel="0" collapsed="false">
      <c r="B151" s="5" t="n">
        <v>147</v>
      </c>
      <c r="C151" s="6"/>
      <c r="D151" s="7"/>
      <c r="E151" s="8"/>
      <c r="F151" s="9"/>
      <c r="G151" s="10" t="str">
        <f aca="false">IF(D151="","",IF(D151="EarPods",1500,IF(D151="Button Phone",6000,IF(D151="Memory Card",1000,IF(D151="Charger",1200,IF(D151="Tripod Stand",4500,IF(D151="Selfie Stick",2500,IF(D151="Cables",800,IF(D151="Ringlight",8500,IF(D151="Speakers",5500,IF(D151="Wireless Mic",7000,IF(D151="Mouse",3200,IF(D151="Powerbanks",6000,IF(D151="Smartwatch",10000,""))))))))))))))</f>
        <v/>
      </c>
      <c r="H151" s="11" t="str">
        <f aca="false">IF(OR(F151="",G151=""),"",F151*G151)</f>
        <v/>
      </c>
      <c r="I151" s="12"/>
      <c r="J151" s="12"/>
    </row>
    <row r="152" customFormat="false" ht="18.75" hidden="false" customHeight="true" outlineLevel="0" collapsed="false">
      <c r="B152" s="13" t="n">
        <v>148</v>
      </c>
      <c r="C152" s="14"/>
      <c r="D152" s="15"/>
      <c r="E152" s="16"/>
      <c r="F152" s="17"/>
      <c r="G152" s="10" t="str">
        <f aca="false">IF(D152="","",IF(D152="EarPods",1500,IF(D152="Button Phone",6000,IF(D152="Memory Card",1000,IF(D152="Charger",1200,IF(D152="Tripod Stand",4500,IF(D152="Selfie Stick",2500,IF(D152="Cables",800,IF(D152="Ringlight",8500,IF(D152="Speakers",5500,IF(D152="Wireless Mic",7000,IF(D152="Mouse",3200,IF(D152="Powerbanks",6000,IF(D152="Smartwatch",10000,""))))))))))))))</f>
        <v/>
      </c>
      <c r="H152" s="11" t="str">
        <f aca="false">IF(OR(F152="",G152=""),"",F152*G152)</f>
        <v/>
      </c>
      <c r="I152" s="18"/>
      <c r="J152" s="18"/>
    </row>
    <row r="153" customFormat="false" ht="18.75" hidden="false" customHeight="true" outlineLevel="0" collapsed="false">
      <c r="B153" s="5" t="n">
        <v>149</v>
      </c>
      <c r="C153" s="6"/>
      <c r="D153" s="7"/>
      <c r="E153" s="8"/>
      <c r="F153" s="9"/>
      <c r="G153" s="10" t="str">
        <f aca="false">IF(D153="","",IF(D153="EarPods",1500,IF(D153="Button Phone",6000,IF(D153="Memory Card",1000,IF(D153="Charger",1200,IF(D153="Tripod Stand",4500,IF(D153="Selfie Stick",2500,IF(D153="Cables",800,IF(D153="Ringlight",8500,IF(D153="Speakers",5500,IF(D153="Wireless Mic",7000,IF(D153="Mouse",3200,IF(D153="Powerbanks",6000,IF(D153="Smartwatch",10000,""))))))))))))))</f>
        <v/>
      </c>
      <c r="H153" s="11" t="str">
        <f aca="false">IF(OR(F153="",G153=""),"",F153*G153)</f>
        <v/>
      </c>
      <c r="I153" s="12"/>
      <c r="J153" s="12"/>
    </row>
    <row r="154" customFormat="false" ht="18.75" hidden="false" customHeight="true" outlineLevel="0" collapsed="false">
      <c r="B154" s="13" t="n">
        <v>150</v>
      </c>
      <c r="C154" s="14"/>
      <c r="D154" s="15"/>
      <c r="E154" s="16"/>
      <c r="F154" s="17"/>
      <c r="G154" s="10" t="str">
        <f aca="false">IF(D154="","",IF(D154="EarPods",1500,IF(D154="Button Phone",6000,IF(D154="Memory Card",1000,IF(D154="Charger",1200,IF(D154="Tripod Stand",4500,IF(D154="Selfie Stick",2500,IF(D154="Cables",800,IF(D154="Ringlight",8500,IF(D154="Speakers",5500,IF(D154="Wireless Mic",7000,IF(D154="Mouse",3200,IF(D154="Powerbanks",6000,IF(D154="Smartwatch",10000,""))))))))))))))</f>
        <v/>
      </c>
      <c r="H154" s="11" t="str">
        <f aca="false">IF(OR(F154="",G154=""),"",F154*G154)</f>
        <v/>
      </c>
      <c r="I154" s="18"/>
      <c r="J154" s="18"/>
    </row>
    <row r="155" customFormat="false" ht="18.75" hidden="false" customHeight="true" outlineLevel="0" collapsed="false">
      <c r="B155" s="5" t="n">
        <v>151</v>
      </c>
      <c r="C155" s="6"/>
      <c r="D155" s="7"/>
      <c r="E155" s="8"/>
      <c r="F155" s="9"/>
      <c r="G155" s="10" t="str">
        <f aca="false">IF(D155="","",IF(D155="EarPods",1500,IF(D155="Button Phone",6000,IF(D155="Memory Card",1000,IF(D155="Charger",1200,IF(D155="Tripod Stand",4500,IF(D155="Selfie Stick",2500,IF(D155="Cables",800,IF(D155="Ringlight",8500,IF(D155="Speakers",5500,IF(D155="Wireless Mic",7000,IF(D155="Mouse",3200,IF(D155="Powerbanks",6000,IF(D155="Smartwatch",10000,""))))))))))))))</f>
        <v/>
      </c>
      <c r="H155" s="11" t="str">
        <f aca="false">IF(OR(F155="",G155=""),"",F155*G155)</f>
        <v/>
      </c>
      <c r="I155" s="12"/>
      <c r="J155" s="12"/>
    </row>
    <row r="156" customFormat="false" ht="18.75" hidden="false" customHeight="true" outlineLevel="0" collapsed="false">
      <c r="B156" s="13" t="n">
        <v>152</v>
      </c>
      <c r="C156" s="14"/>
      <c r="D156" s="15"/>
      <c r="E156" s="16"/>
      <c r="F156" s="17"/>
      <c r="G156" s="10" t="str">
        <f aca="false">IF(D156="","",IF(D156="EarPods",1500,IF(D156="Button Phone",6000,IF(D156="Memory Card",1000,IF(D156="Charger",1200,IF(D156="Tripod Stand",4500,IF(D156="Selfie Stick",2500,IF(D156="Cables",800,IF(D156="Ringlight",8500,IF(D156="Speakers",5500,IF(D156="Wireless Mic",7000,IF(D156="Mouse",3200,IF(D156="Powerbanks",6000,IF(D156="Smartwatch",10000,""))))))))))))))</f>
        <v/>
      </c>
      <c r="H156" s="11" t="str">
        <f aca="false">IF(OR(F156="",G156=""),"",F156*G156)</f>
        <v/>
      </c>
      <c r="I156" s="18"/>
      <c r="J156" s="18"/>
    </row>
    <row r="157" customFormat="false" ht="18.75" hidden="false" customHeight="true" outlineLevel="0" collapsed="false">
      <c r="B157" s="5" t="n">
        <v>153</v>
      </c>
      <c r="C157" s="6"/>
      <c r="D157" s="7"/>
      <c r="E157" s="8"/>
      <c r="F157" s="9"/>
      <c r="G157" s="10" t="str">
        <f aca="false">IF(D157="","",IF(D157="EarPods",1500,IF(D157="Button Phone",6000,IF(D157="Memory Card",1000,IF(D157="Charger",1200,IF(D157="Tripod Stand",4500,IF(D157="Selfie Stick",2500,IF(D157="Cables",800,IF(D157="Ringlight",8500,IF(D157="Speakers",5500,IF(D157="Wireless Mic",7000,IF(D157="Mouse",3200,IF(D157="Powerbanks",6000,IF(D157="Smartwatch",10000,""))))))))))))))</f>
        <v/>
      </c>
      <c r="H157" s="11" t="str">
        <f aca="false">IF(OR(F157="",G157=""),"",F157*G157)</f>
        <v/>
      </c>
      <c r="I157" s="12"/>
      <c r="J157" s="12"/>
    </row>
    <row r="158" customFormat="false" ht="18.75" hidden="false" customHeight="true" outlineLevel="0" collapsed="false">
      <c r="B158" s="13" t="n">
        <v>154</v>
      </c>
      <c r="C158" s="14"/>
      <c r="D158" s="15"/>
      <c r="E158" s="16"/>
      <c r="F158" s="17"/>
      <c r="G158" s="10" t="str">
        <f aca="false">IF(D158="","",IF(D158="EarPods",1500,IF(D158="Button Phone",6000,IF(D158="Memory Card",1000,IF(D158="Charger",1200,IF(D158="Tripod Stand",4500,IF(D158="Selfie Stick",2500,IF(D158="Cables",800,IF(D158="Ringlight",8500,IF(D158="Speakers",5500,IF(D158="Wireless Mic",7000,IF(D158="Mouse",3200,IF(D158="Powerbanks",6000,IF(D158="Smartwatch",10000,""))))))))))))))</f>
        <v/>
      </c>
      <c r="H158" s="11" t="str">
        <f aca="false">IF(OR(F158="",G158=""),"",F158*G158)</f>
        <v/>
      </c>
      <c r="I158" s="18"/>
      <c r="J158" s="18"/>
    </row>
    <row r="159" customFormat="false" ht="18.75" hidden="false" customHeight="true" outlineLevel="0" collapsed="false">
      <c r="B159" s="5" t="n">
        <v>155</v>
      </c>
      <c r="C159" s="6"/>
      <c r="D159" s="7"/>
      <c r="E159" s="8"/>
      <c r="F159" s="9"/>
      <c r="G159" s="10" t="str">
        <f aca="false">IF(D159="","",IF(D159="EarPods",1500,IF(D159="Button Phone",6000,IF(D159="Memory Card",1000,IF(D159="Charger",1200,IF(D159="Tripod Stand",4500,IF(D159="Selfie Stick",2500,IF(D159="Cables",800,IF(D159="Ringlight",8500,IF(D159="Speakers",5500,IF(D159="Wireless Mic",7000,IF(D159="Mouse",3200,IF(D159="Powerbanks",6000,IF(D159="Smartwatch",10000,""))))))))))))))</f>
        <v/>
      </c>
      <c r="H159" s="11" t="str">
        <f aca="false">IF(OR(F159="",G159=""),"",F159*G159)</f>
        <v/>
      </c>
      <c r="I159" s="12"/>
      <c r="J159" s="12"/>
    </row>
    <row r="160" customFormat="false" ht="18.75" hidden="false" customHeight="true" outlineLevel="0" collapsed="false">
      <c r="B160" s="13" t="n">
        <v>156</v>
      </c>
      <c r="C160" s="14"/>
      <c r="D160" s="15"/>
      <c r="E160" s="16"/>
      <c r="F160" s="17"/>
      <c r="G160" s="10" t="str">
        <f aca="false">IF(D160="","",IF(D160="EarPods",1500,IF(D160="Button Phone",6000,IF(D160="Memory Card",1000,IF(D160="Charger",1200,IF(D160="Tripod Stand",4500,IF(D160="Selfie Stick",2500,IF(D160="Cables",800,IF(D160="Ringlight",8500,IF(D160="Speakers",5500,IF(D160="Wireless Mic",7000,IF(D160="Mouse",3200,IF(D160="Powerbanks",6000,IF(D160="Smartwatch",10000,""))))))))))))))</f>
        <v/>
      </c>
      <c r="H160" s="11" t="str">
        <f aca="false">IF(OR(F160="",G160=""),"",F160*G160)</f>
        <v/>
      </c>
      <c r="I160" s="18"/>
      <c r="J160" s="18"/>
    </row>
    <row r="161" customFormat="false" ht="18.75" hidden="false" customHeight="true" outlineLevel="0" collapsed="false">
      <c r="B161" s="5" t="n">
        <v>157</v>
      </c>
      <c r="C161" s="6"/>
      <c r="D161" s="7"/>
      <c r="E161" s="8"/>
      <c r="F161" s="9"/>
      <c r="G161" s="10" t="str">
        <f aca="false">IF(D161="","",IF(D161="EarPods",1500,IF(D161="Button Phone",6000,IF(D161="Memory Card",1000,IF(D161="Charger",1200,IF(D161="Tripod Stand",4500,IF(D161="Selfie Stick",2500,IF(D161="Cables",800,IF(D161="Ringlight",8500,IF(D161="Speakers",5500,IF(D161="Wireless Mic",7000,IF(D161="Mouse",3200,IF(D161="Powerbanks",6000,IF(D161="Smartwatch",10000,""))))))))))))))</f>
        <v/>
      </c>
      <c r="H161" s="11" t="str">
        <f aca="false">IF(OR(F161="",G161=""),"",F161*G161)</f>
        <v/>
      </c>
      <c r="I161" s="12"/>
      <c r="J161" s="12"/>
    </row>
    <row r="162" customFormat="false" ht="18.75" hidden="false" customHeight="true" outlineLevel="0" collapsed="false">
      <c r="B162" s="13" t="n">
        <v>158</v>
      </c>
      <c r="C162" s="14"/>
      <c r="D162" s="15"/>
      <c r="E162" s="16"/>
      <c r="F162" s="17"/>
      <c r="G162" s="10" t="str">
        <f aca="false">IF(D162="","",IF(D162="EarPods",1500,IF(D162="Button Phone",6000,IF(D162="Memory Card",1000,IF(D162="Charger",1200,IF(D162="Tripod Stand",4500,IF(D162="Selfie Stick",2500,IF(D162="Cables",800,IF(D162="Ringlight",8500,IF(D162="Speakers",5500,IF(D162="Wireless Mic",7000,IF(D162="Mouse",3200,IF(D162="Powerbanks",6000,IF(D162="Smartwatch",10000,""))))))))))))))</f>
        <v/>
      </c>
      <c r="H162" s="11" t="str">
        <f aca="false">IF(OR(F162="",G162=""),"",F162*G162)</f>
        <v/>
      </c>
      <c r="I162" s="18"/>
      <c r="J162" s="18"/>
    </row>
    <row r="163" customFormat="false" ht="18.75" hidden="false" customHeight="true" outlineLevel="0" collapsed="false">
      <c r="B163" s="5" t="n">
        <v>159</v>
      </c>
      <c r="C163" s="6"/>
      <c r="D163" s="7"/>
      <c r="E163" s="8"/>
      <c r="F163" s="9"/>
      <c r="G163" s="10" t="str">
        <f aca="false">IF(D163="","",IF(D163="EarPods",1500,IF(D163="Button Phone",6000,IF(D163="Memory Card",1000,IF(D163="Charger",1200,IF(D163="Tripod Stand",4500,IF(D163="Selfie Stick",2500,IF(D163="Cables",800,IF(D163="Ringlight",8500,IF(D163="Speakers",5500,IF(D163="Wireless Mic",7000,IF(D163="Mouse",3200,IF(D163="Powerbanks",6000,IF(D163="Smartwatch",10000,""))))))))))))))</f>
        <v/>
      </c>
      <c r="H163" s="11" t="str">
        <f aca="false">IF(OR(F163="",G163=""),"",F163*G163)</f>
        <v/>
      </c>
      <c r="I163" s="12"/>
      <c r="J163" s="12"/>
    </row>
    <row r="164" customFormat="false" ht="18.75" hidden="false" customHeight="true" outlineLevel="0" collapsed="false">
      <c r="B164" s="13" t="n">
        <v>160</v>
      </c>
      <c r="C164" s="14"/>
      <c r="D164" s="15"/>
      <c r="E164" s="16"/>
      <c r="F164" s="17"/>
      <c r="G164" s="10" t="str">
        <f aca="false">IF(D164="","",IF(D164="EarPods",1500,IF(D164="Button Phone",6000,IF(D164="Memory Card",1000,IF(D164="Charger",1200,IF(D164="Tripod Stand",4500,IF(D164="Selfie Stick",2500,IF(D164="Cables",800,IF(D164="Ringlight",8500,IF(D164="Speakers",5500,IF(D164="Wireless Mic",7000,IF(D164="Mouse",3200,IF(D164="Powerbanks",6000,IF(D164="Smartwatch",10000,""))))))))))))))</f>
        <v/>
      </c>
      <c r="H164" s="11" t="str">
        <f aca="false">IF(OR(F164="",G164=""),"",F164*G164)</f>
        <v/>
      </c>
      <c r="I164" s="18"/>
      <c r="J164" s="18"/>
    </row>
    <row r="165" customFormat="false" ht="18.75" hidden="false" customHeight="true" outlineLevel="0" collapsed="false">
      <c r="B165" s="5" t="n">
        <v>161</v>
      </c>
      <c r="C165" s="6"/>
      <c r="D165" s="7"/>
      <c r="E165" s="8"/>
      <c r="F165" s="9"/>
      <c r="G165" s="10" t="str">
        <f aca="false">IF(D165="","",IF(D165="EarPods",1500,IF(D165="Button Phone",6000,IF(D165="Memory Card",1000,IF(D165="Charger",1200,IF(D165="Tripod Stand",4500,IF(D165="Selfie Stick",2500,IF(D165="Cables",800,IF(D165="Ringlight",8500,IF(D165="Speakers",5500,IF(D165="Wireless Mic",7000,IF(D165="Mouse",3200,IF(D165="Powerbanks",6000,IF(D165="Smartwatch",10000,""))))))))))))))</f>
        <v/>
      </c>
      <c r="H165" s="11" t="str">
        <f aca="false">IF(OR(F165="",G165=""),"",F165*G165)</f>
        <v/>
      </c>
      <c r="I165" s="12"/>
      <c r="J165" s="12"/>
    </row>
    <row r="166" customFormat="false" ht="18.75" hidden="false" customHeight="true" outlineLevel="0" collapsed="false">
      <c r="B166" s="13" t="n">
        <v>162</v>
      </c>
      <c r="C166" s="14"/>
      <c r="D166" s="15"/>
      <c r="E166" s="16"/>
      <c r="F166" s="17"/>
      <c r="G166" s="10" t="str">
        <f aca="false">IF(D166="","",IF(D166="EarPods",1500,IF(D166="Button Phone",6000,IF(D166="Memory Card",1000,IF(D166="Charger",1200,IF(D166="Tripod Stand",4500,IF(D166="Selfie Stick",2500,IF(D166="Cables",800,IF(D166="Ringlight",8500,IF(D166="Speakers",5500,IF(D166="Wireless Mic",7000,IF(D166="Mouse",3200,IF(D166="Powerbanks",6000,IF(D166="Smartwatch",10000,""))))))))))))))</f>
        <v/>
      </c>
      <c r="H166" s="11" t="str">
        <f aca="false">IF(OR(F166="",G166=""),"",F166*G166)</f>
        <v/>
      </c>
      <c r="I166" s="18"/>
      <c r="J166" s="18"/>
    </row>
    <row r="167" customFormat="false" ht="18.75" hidden="false" customHeight="true" outlineLevel="0" collapsed="false">
      <c r="B167" s="5" t="n">
        <v>163</v>
      </c>
      <c r="C167" s="6"/>
      <c r="D167" s="7"/>
      <c r="E167" s="8"/>
      <c r="F167" s="9"/>
      <c r="G167" s="10" t="str">
        <f aca="false">IF(D167="","",IF(D167="EarPods",1500,IF(D167="Button Phone",6000,IF(D167="Memory Card",1000,IF(D167="Charger",1200,IF(D167="Tripod Stand",4500,IF(D167="Selfie Stick",2500,IF(D167="Cables",800,IF(D167="Ringlight",8500,IF(D167="Speakers",5500,IF(D167="Wireless Mic",7000,IF(D167="Mouse",3200,IF(D167="Powerbanks",6000,IF(D167="Smartwatch",10000,""))))))))))))))</f>
        <v/>
      </c>
      <c r="H167" s="11" t="str">
        <f aca="false">IF(OR(F167="",G167=""),"",F167*G167)</f>
        <v/>
      </c>
      <c r="I167" s="12"/>
      <c r="J167" s="12"/>
    </row>
    <row r="168" customFormat="false" ht="18.75" hidden="false" customHeight="true" outlineLevel="0" collapsed="false">
      <c r="B168" s="13" t="n">
        <v>164</v>
      </c>
      <c r="C168" s="14"/>
      <c r="D168" s="15"/>
      <c r="E168" s="16"/>
      <c r="F168" s="17"/>
      <c r="G168" s="10" t="str">
        <f aca="false">IF(D168="","",IF(D168="EarPods",1500,IF(D168="Button Phone",6000,IF(D168="Memory Card",1000,IF(D168="Charger",1200,IF(D168="Tripod Stand",4500,IF(D168="Selfie Stick",2500,IF(D168="Cables",800,IF(D168="Ringlight",8500,IF(D168="Speakers",5500,IF(D168="Wireless Mic",7000,IF(D168="Mouse",3200,IF(D168="Powerbanks",6000,IF(D168="Smartwatch",10000,""))))))))))))))</f>
        <v/>
      </c>
      <c r="H168" s="11" t="str">
        <f aca="false">IF(OR(F168="",G168=""),"",F168*G168)</f>
        <v/>
      </c>
      <c r="I168" s="18"/>
      <c r="J168" s="18"/>
    </row>
    <row r="169" customFormat="false" ht="18.75" hidden="false" customHeight="true" outlineLevel="0" collapsed="false">
      <c r="B169" s="5" t="n">
        <v>165</v>
      </c>
      <c r="C169" s="6"/>
      <c r="D169" s="7"/>
      <c r="E169" s="8"/>
      <c r="F169" s="9"/>
      <c r="G169" s="10" t="str">
        <f aca="false">IF(D169="","",IF(D169="EarPods",1500,IF(D169="Button Phone",6000,IF(D169="Memory Card",1000,IF(D169="Charger",1200,IF(D169="Tripod Stand",4500,IF(D169="Selfie Stick",2500,IF(D169="Cables",800,IF(D169="Ringlight",8500,IF(D169="Speakers",5500,IF(D169="Wireless Mic",7000,IF(D169="Mouse",3200,IF(D169="Powerbanks",6000,IF(D169="Smartwatch",10000,""))))))))))))))</f>
        <v/>
      </c>
      <c r="H169" s="11" t="str">
        <f aca="false">IF(OR(F169="",G169=""),"",F169*G169)</f>
        <v/>
      </c>
      <c r="I169" s="12"/>
      <c r="J169" s="12"/>
    </row>
    <row r="170" customFormat="false" ht="18.75" hidden="false" customHeight="true" outlineLevel="0" collapsed="false">
      <c r="B170" s="13" t="n">
        <v>166</v>
      </c>
      <c r="C170" s="14"/>
      <c r="D170" s="15"/>
      <c r="E170" s="16"/>
      <c r="F170" s="17"/>
      <c r="G170" s="10" t="str">
        <f aca="false">IF(D170="","",IF(D170="EarPods",1500,IF(D170="Button Phone",6000,IF(D170="Memory Card",1000,IF(D170="Charger",1200,IF(D170="Tripod Stand",4500,IF(D170="Selfie Stick",2500,IF(D170="Cables",800,IF(D170="Ringlight",8500,IF(D170="Speakers",5500,IF(D170="Wireless Mic",7000,IF(D170="Mouse",3200,IF(D170="Powerbanks",6000,IF(D170="Smartwatch",10000,""))))))))))))))</f>
        <v/>
      </c>
      <c r="H170" s="11" t="str">
        <f aca="false">IF(OR(F170="",G170=""),"",F170*G170)</f>
        <v/>
      </c>
      <c r="I170" s="18"/>
      <c r="J170" s="18"/>
    </row>
    <row r="171" customFormat="false" ht="18.75" hidden="false" customHeight="true" outlineLevel="0" collapsed="false">
      <c r="B171" s="5" t="n">
        <v>167</v>
      </c>
      <c r="C171" s="6"/>
      <c r="D171" s="7"/>
      <c r="E171" s="8"/>
      <c r="F171" s="9"/>
      <c r="G171" s="10" t="str">
        <f aca="false">IF(D171="","",IF(D171="EarPods",1500,IF(D171="Button Phone",6000,IF(D171="Memory Card",1000,IF(D171="Charger",1200,IF(D171="Tripod Stand",4500,IF(D171="Selfie Stick",2500,IF(D171="Cables",800,IF(D171="Ringlight",8500,IF(D171="Speakers",5500,IF(D171="Wireless Mic",7000,IF(D171="Mouse",3200,IF(D171="Powerbanks",6000,IF(D171="Smartwatch",10000,""))))))))))))))</f>
        <v/>
      </c>
      <c r="H171" s="11" t="str">
        <f aca="false">IF(OR(F171="",G171=""),"",F171*G171)</f>
        <v/>
      </c>
      <c r="I171" s="12"/>
      <c r="J171" s="12"/>
    </row>
    <row r="172" customFormat="false" ht="18.75" hidden="false" customHeight="true" outlineLevel="0" collapsed="false">
      <c r="B172" s="13" t="n">
        <v>168</v>
      </c>
      <c r="C172" s="14"/>
      <c r="D172" s="15"/>
      <c r="E172" s="16"/>
      <c r="F172" s="17"/>
      <c r="G172" s="10" t="str">
        <f aca="false">IF(D172="","",IF(D172="EarPods",1500,IF(D172="Button Phone",6000,IF(D172="Memory Card",1000,IF(D172="Charger",1200,IF(D172="Tripod Stand",4500,IF(D172="Selfie Stick",2500,IF(D172="Cables",800,IF(D172="Ringlight",8500,IF(D172="Speakers",5500,IF(D172="Wireless Mic",7000,IF(D172="Mouse",3200,IF(D172="Powerbanks",6000,IF(D172="Smartwatch",10000,""))))))))))))))</f>
        <v/>
      </c>
      <c r="H172" s="11" t="str">
        <f aca="false">IF(OR(F172="",G172=""),"",F172*G172)</f>
        <v/>
      </c>
      <c r="I172" s="18"/>
      <c r="J172" s="18"/>
    </row>
    <row r="173" customFormat="false" ht="18.75" hidden="false" customHeight="true" outlineLevel="0" collapsed="false">
      <c r="B173" s="5" t="n">
        <v>169</v>
      </c>
      <c r="C173" s="6"/>
      <c r="D173" s="7"/>
      <c r="E173" s="8"/>
      <c r="F173" s="9"/>
      <c r="G173" s="10" t="str">
        <f aca="false">IF(D173="","",IF(D173="EarPods",1500,IF(D173="Button Phone",6000,IF(D173="Memory Card",1000,IF(D173="Charger",1200,IF(D173="Tripod Stand",4500,IF(D173="Selfie Stick",2500,IF(D173="Cables",800,IF(D173="Ringlight",8500,IF(D173="Speakers",5500,IF(D173="Wireless Mic",7000,IF(D173="Mouse",3200,IF(D173="Powerbanks",6000,IF(D173="Smartwatch",10000,""))))))))))))))</f>
        <v/>
      </c>
      <c r="H173" s="11" t="str">
        <f aca="false">IF(OR(F173="",G173=""),"",F173*G173)</f>
        <v/>
      </c>
      <c r="I173" s="12"/>
      <c r="J173" s="12"/>
    </row>
    <row r="174" customFormat="false" ht="18.75" hidden="false" customHeight="true" outlineLevel="0" collapsed="false">
      <c r="B174" s="13" t="n">
        <v>170</v>
      </c>
      <c r="C174" s="14"/>
      <c r="D174" s="15"/>
      <c r="E174" s="16"/>
      <c r="F174" s="17"/>
      <c r="G174" s="10" t="str">
        <f aca="false">IF(D174="","",IF(D174="EarPods",1500,IF(D174="Button Phone",6000,IF(D174="Memory Card",1000,IF(D174="Charger",1200,IF(D174="Tripod Stand",4500,IF(D174="Selfie Stick",2500,IF(D174="Cables",800,IF(D174="Ringlight",8500,IF(D174="Speakers",5500,IF(D174="Wireless Mic",7000,IF(D174="Mouse",3200,IF(D174="Powerbanks",6000,IF(D174="Smartwatch",10000,""))))))))))))))</f>
        <v/>
      </c>
      <c r="H174" s="11" t="str">
        <f aca="false">IF(OR(F174="",G174=""),"",F174*G174)</f>
        <v/>
      </c>
      <c r="I174" s="18"/>
      <c r="J174" s="18"/>
    </row>
    <row r="175" customFormat="false" ht="18.75" hidden="false" customHeight="true" outlineLevel="0" collapsed="false">
      <c r="B175" s="5" t="n">
        <v>171</v>
      </c>
      <c r="C175" s="6"/>
      <c r="D175" s="7"/>
      <c r="E175" s="8"/>
      <c r="F175" s="9"/>
      <c r="G175" s="10" t="str">
        <f aca="false">IF(D175="","",IF(D175="EarPods",1500,IF(D175="Button Phone",6000,IF(D175="Memory Card",1000,IF(D175="Charger",1200,IF(D175="Tripod Stand",4500,IF(D175="Selfie Stick",2500,IF(D175="Cables",800,IF(D175="Ringlight",8500,IF(D175="Speakers",5500,IF(D175="Wireless Mic",7000,IF(D175="Mouse",3200,IF(D175="Powerbanks",6000,IF(D175="Smartwatch",10000,""))))))))))))))</f>
        <v/>
      </c>
      <c r="H175" s="11" t="str">
        <f aca="false">IF(OR(F175="",G175=""),"",F175*G175)</f>
        <v/>
      </c>
      <c r="I175" s="12"/>
      <c r="J175" s="12"/>
    </row>
    <row r="176" customFormat="false" ht="18.75" hidden="false" customHeight="true" outlineLevel="0" collapsed="false">
      <c r="B176" s="13" t="n">
        <v>172</v>
      </c>
      <c r="C176" s="14"/>
      <c r="D176" s="15"/>
      <c r="E176" s="16"/>
      <c r="F176" s="17"/>
      <c r="G176" s="10" t="str">
        <f aca="false">IF(D176="","",IF(D176="EarPods",1500,IF(D176="Button Phone",6000,IF(D176="Memory Card",1000,IF(D176="Charger",1200,IF(D176="Tripod Stand",4500,IF(D176="Selfie Stick",2500,IF(D176="Cables",800,IF(D176="Ringlight",8500,IF(D176="Speakers",5500,IF(D176="Wireless Mic",7000,IF(D176="Mouse",3200,IF(D176="Powerbanks",6000,IF(D176="Smartwatch",10000,""))))))))))))))</f>
        <v/>
      </c>
      <c r="H176" s="11" t="str">
        <f aca="false">IF(OR(F176="",G176=""),"",F176*G176)</f>
        <v/>
      </c>
      <c r="I176" s="18"/>
      <c r="J176" s="18"/>
    </row>
    <row r="177" customFormat="false" ht="18.75" hidden="false" customHeight="true" outlineLevel="0" collapsed="false">
      <c r="B177" s="5" t="n">
        <v>173</v>
      </c>
      <c r="C177" s="6"/>
      <c r="D177" s="7"/>
      <c r="E177" s="8"/>
      <c r="F177" s="9"/>
      <c r="G177" s="10" t="str">
        <f aca="false">IF(D177="","",IF(D177="EarPods",1500,IF(D177="Button Phone",6000,IF(D177="Memory Card",1000,IF(D177="Charger",1200,IF(D177="Tripod Stand",4500,IF(D177="Selfie Stick",2500,IF(D177="Cables",800,IF(D177="Ringlight",8500,IF(D177="Speakers",5500,IF(D177="Wireless Mic",7000,IF(D177="Mouse",3200,IF(D177="Powerbanks",6000,IF(D177="Smartwatch",10000,""))))))))))))))</f>
        <v/>
      </c>
      <c r="H177" s="11" t="str">
        <f aca="false">IF(OR(F177="",G177=""),"",F177*G177)</f>
        <v/>
      </c>
      <c r="I177" s="12"/>
      <c r="J177" s="12"/>
    </row>
    <row r="178" customFormat="false" ht="18.75" hidden="false" customHeight="true" outlineLevel="0" collapsed="false">
      <c r="B178" s="13" t="n">
        <v>174</v>
      </c>
      <c r="C178" s="14"/>
      <c r="D178" s="15"/>
      <c r="E178" s="16"/>
      <c r="F178" s="17"/>
      <c r="G178" s="10" t="str">
        <f aca="false">IF(D178="","",IF(D178="EarPods",1500,IF(D178="Button Phone",6000,IF(D178="Memory Card",1000,IF(D178="Charger",1200,IF(D178="Tripod Stand",4500,IF(D178="Selfie Stick",2500,IF(D178="Cables",800,IF(D178="Ringlight",8500,IF(D178="Speakers",5500,IF(D178="Wireless Mic",7000,IF(D178="Mouse",3200,IF(D178="Powerbanks",6000,IF(D178="Smartwatch",10000,""))))))))))))))</f>
        <v/>
      </c>
      <c r="H178" s="11" t="str">
        <f aca="false">IF(OR(F178="",G178=""),"",F178*G178)</f>
        <v/>
      </c>
      <c r="I178" s="18"/>
      <c r="J178" s="18"/>
    </row>
    <row r="179" customFormat="false" ht="18.75" hidden="false" customHeight="true" outlineLevel="0" collapsed="false">
      <c r="B179" s="5" t="n">
        <v>175</v>
      </c>
      <c r="C179" s="6"/>
      <c r="D179" s="7"/>
      <c r="E179" s="8"/>
      <c r="F179" s="9"/>
      <c r="G179" s="10" t="str">
        <f aca="false">IF(D179="","",IF(D179="EarPods",1500,IF(D179="Button Phone",6000,IF(D179="Memory Card",1000,IF(D179="Charger",1200,IF(D179="Tripod Stand",4500,IF(D179="Selfie Stick",2500,IF(D179="Cables",800,IF(D179="Ringlight",8500,IF(D179="Speakers",5500,IF(D179="Wireless Mic",7000,IF(D179="Mouse",3200,IF(D179="Powerbanks",6000,IF(D179="Smartwatch",10000,""))))))))))))))</f>
        <v/>
      </c>
      <c r="H179" s="11" t="str">
        <f aca="false">IF(OR(F179="",G179=""),"",F179*G179)</f>
        <v/>
      </c>
      <c r="I179" s="12"/>
      <c r="J179" s="12"/>
    </row>
    <row r="180" customFormat="false" ht="18.75" hidden="false" customHeight="true" outlineLevel="0" collapsed="false">
      <c r="B180" s="13" t="n">
        <v>176</v>
      </c>
      <c r="C180" s="14"/>
      <c r="D180" s="15"/>
      <c r="E180" s="16"/>
      <c r="F180" s="17"/>
      <c r="G180" s="10" t="str">
        <f aca="false">IF(D180="","",IF(D180="EarPods",1500,IF(D180="Button Phone",6000,IF(D180="Memory Card",1000,IF(D180="Charger",1200,IF(D180="Tripod Stand",4500,IF(D180="Selfie Stick",2500,IF(D180="Cables",800,IF(D180="Ringlight",8500,IF(D180="Speakers",5500,IF(D180="Wireless Mic",7000,IF(D180="Mouse",3200,IF(D180="Powerbanks",6000,IF(D180="Smartwatch",10000,""))))))))))))))</f>
        <v/>
      </c>
      <c r="H180" s="11" t="str">
        <f aca="false">IF(OR(F180="",G180=""),"",F180*G180)</f>
        <v/>
      </c>
      <c r="I180" s="18"/>
      <c r="J180" s="18"/>
    </row>
    <row r="181" customFormat="false" ht="18.75" hidden="false" customHeight="true" outlineLevel="0" collapsed="false">
      <c r="B181" s="5" t="n">
        <v>177</v>
      </c>
      <c r="C181" s="6"/>
      <c r="D181" s="7"/>
      <c r="E181" s="8"/>
      <c r="F181" s="9"/>
      <c r="G181" s="10" t="str">
        <f aca="false">IF(D181="","",IF(D181="EarPods",1500,IF(D181="Button Phone",6000,IF(D181="Memory Card",1000,IF(D181="Charger",1200,IF(D181="Tripod Stand",4500,IF(D181="Selfie Stick",2500,IF(D181="Cables",800,IF(D181="Ringlight",8500,IF(D181="Speakers",5500,IF(D181="Wireless Mic",7000,IF(D181="Mouse",3200,IF(D181="Powerbanks",6000,IF(D181="Smartwatch",10000,""))))))))))))))</f>
        <v/>
      </c>
      <c r="H181" s="11" t="str">
        <f aca="false">IF(OR(F181="",G181=""),"",F181*G181)</f>
        <v/>
      </c>
      <c r="I181" s="12"/>
      <c r="J181" s="12"/>
    </row>
    <row r="182" customFormat="false" ht="18.75" hidden="false" customHeight="true" outlineLevel="0" collapsed="false">
      <c r="B182" s="13" t="n">
        <v>178</v>
      </c>
      <c r="C182" s="14"/>
      <c r="D182" s="15"/>
      <c r="E182" s="16"/>
      <c r="F182" s="17"/>
      <c r="G182" s="10" t="str">
        <f aca="false">IF(D182="","",IF(D182="EarPods",1500,IF(D182="Button Phone",6000,IF(D182="Memory Card",1000,IF(D182="Charger",1200,IF(D182="Tripod Stand",4500,IF(D182="Selfie Stick",2500,IF(D182="Cables",800,IF(D182="Ringlight",8500,IF(D182="Speakers",5500,IF(D182="Wireless Mic",7000,IF(D182="Mouse",3200,IF(D182="Powerbanks",6000,IF(D182="Smartwatch",10000,""))))))))))))))</f>
        <v/>
      </c>
      <c r="H182" s="11" t="str">
        <f aca="false">IF(OR(F182="",G182=""),"",F182*G182)</f>
        <v/>
      </c>
      <c r="I182" s="18"/>
      <c r="J182" s="18"/>
    </row>
    <row r="183" customFormat="false" ht="18.75" hidden="false" customHeight="true" outlineLevel="0" collapsed="false">
      <c r="B183" s="5" t="n">
        <v>179</v>
      </c>
      <c r="C183" s="6"/>
      <c r="D183" s="7"/>
      <c r="E183" s="8"/>
      <c r="F183" s="9"/>
      <c r="G183" s="10" t="str">
        <f aca="false">IF(D183="","",IF(D183="EarPods",1500,IF(D183="Button Phone",6000,IF(D183="Memory Card",1000,IF(D183="Charger",1200,IF(D183="Tripod Stand",4500,IF(D183="Selfie Stick",2500,IF(D183="Cables",800,IF(D183="Ringlight",8500,IF(D183="Speakers",5500,IF(D183="Wireless Mic",7000,IF(D183="Mouse",3200,IF(D183="Powerbanks",6000,IF(D183="Smartwatch",10000,""))))))))))))))</f>
        <v/>
      </c>
      <c r="H183" s="11" t="str">
        <f aca="false">IF(OR(F183="",G183=""),"",F183*G183)</f>
        <v/>
      </c>
      <c r="I183" s="12"/>
      <c r="J183" s="12"/>
    </row>
    <row r="184" customFormat="false" ht="18.75" hidden="false" customHeight="true" outlineLevel="0" collapsed="false">
      <c r="B184" s="13" t="n">
        <v>180</v>
      </c>
      <c r="C184" s="14"/>
      <c r="D184" s="15"/>
      <c r="E184" s="16"/>
      <c r="F184" s="17"/>
      <c r="G184" s="10" t="str">
        <f aca="false">IF(D184="","",IF(D184="EarPods",1500,IF(D184="Button Phone",6000,IF(D184="Memory Card",1000,IF(D184="Charger",1200,IF(D184="Tripod Stand",4500,IF(D184="Selfie Stick",2500,IF(D184="Cables",800,IF(D184="Ringlight",8500,IF(D184="Speakers",5500,IF(D184="Wireless Mic",7000,IF(D184="Mouse",3200,IF(D184="Powerbanks",6000,IF(D184="Smartwatch",10000,""))))))))))))))</f>
        <v/>
      </c>
      <c r="H184" s="11" t="str">
        <f aca="false">IF(OR(F184="",G184=""),"",F184*G184)</f>
        <v/>
      </c>
      <c r="I184" s="18"/>
      <c r="J184" s="18"/>
    </row>
    <row r="185" customFormat="false" ht="18.75" hidden="false" customHeight="true" outlineLevel="0" collapsed="false">
      <c r="B185" s="5" t="n">
        <v>181</v>
      </c>
      <c r="C185" s="6"/>
      <c r="D185" s="7"/>
      <c r="E185" s="8"/>
      <c r="F185" s="9"/>
      <c r="G185" s="10" t="str">
        <f aca="false">IF(D185="","",IF(D185="EarPods",1500,IF(D185="Button Phone",6000,IF(D185="Memory Card",1000,IF(D185="Charger",1200,IF(D185="Tripod Stand",4500,IF(D185="Selfie Stick",2500,IF(D185="Cables",800,IF(D185="Ringlight",8500,IF(D185="Speakers",5500,IF(D185="Wireless Mic",7000,IF(D185="Mouse",3200,IF(D185="Powerbanks",6000,IF(D185="Smartwatch",10000,""))))))))))))))</f>
        <v/>
      </c>
      <c r="H185" s="11" t="str">
        <f aca="false">IF(OR(F185="",G185=""),"",F185*G185)</f>
        <v/>
      </c>
      <c r="I185" s="12"/>
      <c r="J185" s="12"/>
    </row>
    <row r="186" customFormat="false" ht="18.75" hidden="false" customHeight="true" outlineLevel="0" collapsed="false">
      <c r="B186" s="13" t="n">
        <v>182</v>
      </c>
      <c r="C186" s="14"/>
      <c r="D186" s="15"/>
      <c r="E186" s="16"/>
      <c r="F186" s="17"/>
      <c r="G186" s="10" t="str">
        <f aca="false">IF(D186="","",IF(D186="EarPods",1500,IF(D186="Button Phone",6000,IF(D186="Memory Card",1000,IF(D186="Charger",1200,IF(D186="Tripod Stand",4500,IF(D186="Selfie Stick",2500,IF(D186="Cables",800,IF(D186="Ringlight",8500,IF(D186="Speakers",5500,IF(D186="Wireless Mic",7000,IF(D186="Mouse",3200,IF(D186="Powerbanks",6000,IF(D186="Smartwatch",10000,""))))))))))))))</f>
        <v/>
      </c>
      <c r="H186" s="11" t="str">
        <f aca="false">IF(OR(F186="",G186=""),"",F186*G186)</f>
        <v/>
      </c>
      <c r="I186" s="18"/>
      <c r="J186" s="18"/>
    </row>
    <row r="187" customFormat="false" ht="18.75" hidden="false" customHeight="true" outlineLevel="0" collapsed="false">
      <c r="B187" s="5" t="n">
        <v>183</v>
      </c>
      <c r="C187" s="6"/>
      <c r="D187" s="7"/>
      <c r="E187" s="8"/>
      <c r="F187" s="9"/>
      <c r="G187" s="10" t="str">
        <f aca="false">IF(D187="","",IF(D187="EarPods",1500,IF(D187="Button Phone",6000,IF(D187="Memory Card",1000,IF(D187="Charger",1200,IF(D187="Tripod Stand",4500,IF(D187="Selfie Stick",2500,IF(D187="Cables",800,IF(D187="Ringlight",8500,IF(D187="Speakers",5500,IF(D187="Wireless Mic",7000,IF(D187="Mouse",3200,IF(D187="Powerbanks",6000,IF(D187="Smartwatch",10000,""))))))))))))))</f>
        <v/>
      </c>
      <c r="H187" s="11" t="str">
        <f aca="false">IF(OR(F187="",G187=""),"",F187*G187)</f>
        <v/>
      </c>
      <c r="I187" s="12"/>
      <c r="J187" s="12"/>
    </row>
    <row r="188" customFormat="false" ht="18.75" hidden="false" customHeight="true" outlineLevel="0" collapsed="false">
      <c r="B188" s="13" t="n">
        <v>184</v>
      </c>
      <c r="C188" s="14"/>
      <c r="D188" s="15"/>
      <c r="E188" s="16"/>
      <c r="F188" s="17"/>
      <c r="G188" s="10" t="str">
        <f aca="false">IF(D188="","",IF(D188="EarPods",1500,IF(D188="Button Phone",6000,IF(D188="Memory Card",1000,IF(D188="Charger",1200,IF(D188="Tripod Stand",4500,IF(D188="Selfie Stick",2500,IF(D188="Cables",800,IF(D188="Ringlight",8500,IF(D188="Speakers",5500,IF(D188="Wireless Mic",7000,IF(D188="Mouse",3200,IF(D188="Powerbanks",6000,IF(D188="Smartwatch",10000,""))))))))))))))</f>
        <v/>
      </c>
      <c r="H188" s="11" t="str">
        <f aca="false">IF(OR(F188="",G188=""),"",F188*G188)</f>
        <v/>
      </c>
      <c r="I188" s="18"/>
      <c r="J188" s="18"/>
    </row>
    <row r="189" customFormat="false" ht="18.75" hidden="false" customHeight="true" outlineLevel="0" collapsed="false">
      <c r="B189" s="5" t="n">
        <v>185</v>
      </c>
      <c r="C189" s="6"/>
      <c r="D189" s="7"/>
      <c r="E189" s="8"/>
      <c r="F189" s="9"/>
      <c r="G189" s="10" t="str">
        <f aca="false">IF(D189="","",IF(D189="EarPods",1500,IF(D189="Button Phone",6000,IF(D189="Memory Card",1000,IF(D189="Charger",1200,IF(D189="Tripod Stand",4500,IF(D189="Selfie Stick",2500,IF(D189="Cables",800,IF(D189="Ringlight",8500,IF(D189="Speakers",5500,IF(D189="Wireless Mic",7000,IF(D189="Mouse",3200,IF(D189="Powerbanks",6000,IF(D189="Smartwatch",10000,""))))))))))))))</f>
        <v/>
      </c>
      <c r="H189" s="11" t="str">
        <f aca="false">IF(OR(F189="",G189=""),"",F189*G189)</f>
        <v/>
      </c>
      <c r="I189" s="12"/>
      <c r="J189" s="12"/>
    </row>
    <row r="190" customFormat="false" ht="18.75" hidden="false" customHeight="true" outlineLevel="0" collapsed="false">
      <c r="B190" s="13" t="n">
        <v>186</v>
      </c>
      <c r="C190" s="14"/>
      <c r="D190" s="15"/>
      <c r="E190" s="16"/>
      <c r="F190" s="17"/>
      <c r="G190" s="10" t="str">
        <f aca="false">IF(D190="","",IF(D190="EarPods",1500,IF(D190="Button Phone",6000,IF(D190="Memory Card",1000,IF(D190="Charger",1200,IF(D190="Tripod Stand",4500,IF(D190="Selfie Stick",2500,IF(D190="Cables",800,IF(D190="Ringlight",8500,IF(D190="Speakers",5500,IF(D190="Wireless Mic",7000,IF(D190="Mouse",3200,IF(D190="Powerbanks",6000,IF(D190="Smartwatch",10000,""))))))))))))))</f>
        <v/>
      </c>
      <c r="H190" s="11" t="str">
        <f aca="false">IF(OR(F190="",G190=""),"",F190*G190)</f>
        <v/>
      </c>
      <c r="I190" s="18"/>
      <c r="J190" s="18"/>
    </row>
    <row r="191" customFormat="false" ht="18.75" hidden="false" customHeight="true" outlineLevel="0" collapsed="false">
      <c r="B191" s="5" t="n">
        <v>187</v>
      </c>
      <c r="C191" s="6"/>
      <c r="D191" s="7"/>
      <c r="E191" s="8"/>
      <c r="F191" s="9"/>
      <c r="G191" s="10" t="str">
        <f aca="false">IF(D191="","",IF(D191="EarPods",1500,IF(D191="Button Phone",6000,IF(D191="Memory Card",1000,IF(D191="Charger",1200,IF(D191="Tripod Stand",4500,IF(D191="Selfie Stick",2500,IF(D191="Cables",800,IF(D191="Ringlight",8500,IF(D191="Speakers",5500,IF(D191="Wireless Mic",7000,IF(D191="Mouse",3200,IF(D191="Powerbanks",6000,IF(D191="Smartwatch",10000,""))))))))))))))</f>
        <v/>
      </c>
      <c r="H191" s="11" t="str">
        <f aca="false">IF(OR(F191="",G191=""),"",F191*G191)</f>
        <v/>
      </c>
      <c r="I191" s="12"/>
      <c r="J191" s="12"/>
    </row>
    <row r="192" customFormat="false" ht="18.75" hidden="false" customHeight="true" outlineLevel="0" collapsed="false">
      <c r="B192" s="13" t="n">
        <v>188</v>
      </c>
      <c r="C192" s="14"/>
      <c r="D192" s="15"/>
      <c r="E192" s="16"/>
      <c r="F192" s="17"/>
      <c r="G192" s="10" t="str">
        <f aca="false">IF(D192="","",IF(D192="EarPods",1500,IF(D192="Button Phone",6000,IF(D192="Memory Card",1000,IF(D192="Charger",1200,IF(D192="Tripod Stand",4500,IF(D192="Selfie Stick",2500,IF(D192="Cables",800,IF(D192="Ringlight",8500,IF(D192="Speakers",5500,IF(D192="Wireless Mic",7000,IF(D192="Mouse",3200,IF(D192="Powerbanks",6000,IF(D192="Smartwatch",10000,""))))))))))))))</f>
        <v/>
      </c>
      <c r="H192" s="11" t="str">
        <f aca="false">IF(OR(F192="",G192=""),"",F192*G192)</f>
        <v/>
      </c>
      <c r="I192" s="18"/>
      <c r="J192" s="18"/>
    </row>
    <row r="193" customFormat="false" ht="18.75" hidden="false" customHeight="true" outlineLevel="0" collapsed="false">
      <c r="B193" s="5" t="n">
        <v>189</v>
      </c>
      <c r="C193" s="6"/>
      <c r="D193" s="7"/>
      <c r="E193" s="8"/>
      <c r="F193" s="9"/>
      <c r="G193" s="10" t="str">
        <f aca="false">IF(D193="","",IF(D193="EarPods",1500,IF(D193="Button Phone",6000,IF(D193="Memory Card",1000,IF(D193="Charger",1200,IF(D193="Tripod Stand",4500,IF(D193="Selfie Stick",2500,IF(D193="Cables",800,IF(D193="Ringlight",8500,IF(D193="Speakers",5500,IF(D193="Wireless Mic",7000,IF(D193="Mouse",3200,IF(D193="Powerbanks",6000,IF(D193="Smartwatch",10000,""))))))))))))))</f>
        <v/>
      </c>
      <c r="H193" s="11" t="str">
        <f aca="false">IF(OR(F193="",G193=""),"",F193*G193)</f>
        <v/>
      </c>
      <c r="I193" s="12"/>
      <c r="J193" s="12"/>
    </row>
    <row r="194" customFormat="false" ht="18.75" hidden="false" customHeight="true" outlineLevel="0" collapsed="false">
      <c r="B194" s="13" t="n">
        <v>190</v>
      </c>
      <c r="C194" s="14"/>
      <c r="D194" s="15"/>
      <c r="E194" s="16"/>
      <c r="F194" s="17"/>
      <c r="G194" s="10" t="str">
        <f aca="false">IF(D194="","",IF(D194="EarPods",1500,IF(D194="Button Phone",6000,IF(D194="Memory Card",1000,IF(D194="Charger",1200,IF(D194="Tripod Stand",4500,IF(D194="Selfie Stick",2500,IF(D194="Cables",800,IF(D194="Ringlight",8500,IF(D194="Speakers",5500,IF(D194="Wireless Mic",7000,IF(D194="Mouse",3200,IF(D194="Powerbanks",6000,IF(D194="Smartwatch",10000,""))))))))))))))</f>
        <v/>
      </c>
      <c r="H194" s="11" t="str">
        <f aca="false">IF(OR(F194="",G194=""),"",F194*G194)</f>
        <v/>
      </c>
      <c r="I194" s="18"/>
      <c r="J194" s="18"/>
    </row>
    <row r="195" customFormat="false" ht="18.75" hidden="false" customHeight="true" outlineLevel="0" collapsed="false">
      <c r="B195" s="5" t="n">
        <v>191</v>
      </c>
      <c r="C195" s="6"/>
      <c r="D195" s="7"/>
      <c r="E195" s="8"/>
      <c r="F195" s="9"/>
      <c r="G195" s="10" t="str">
        <f aca="false">IF(D195="","",IF(D195="EarPods",1500,IF(D195="Button Phone",6000,IF(D195="Memory Card",1000,IF(D195="Charger",1200,IF(D195="Tripod Stand",4500,IF(D195="Selfie Stick",2500,IF(D195="Cables",800,IF(D195="Ringlight",8500,IF(D195="Speakers",5500,IF(D195="Wireless Mic",7000,IF(D195="Mouse",3200,IF(D195="Powerbanks",6000,IF(D195="Smartwatch",10000,""))))))))))))))</f>
        <v/>
      </c>
      <c r="H195" s="11" t="str">
        <f aca="false">IF(OR(F195="",G195=""),"",F195*G195)</f>
        <v/>
      </c>
      <c r="I195" s="12"/>
      <c r="J195" s="12"/>
    </row>
    <row r="196" customFormat="false" ht="18.75" hidden="false" customHeight="true" outlineLevel="0" collapsed="false">
      <c r="B196" s="13" t="n">
        <v>192</v>
      </c>
      <c r="C196" s="14"/>
      <c r="D196" s="15"/>
      <c r="E196" s="16"/>
      <c r="F196" s="17"/>
      <c r="G196" s="10" t="str">
        <f aca="false">IF(D196="","",IF(D196="EarPods",1500,IF(D196="Button Phone",6000,IF(D196="Memory Card",1000,IF(D196="Charger",1200,IF(D196="Tripod Stand",4500,IF(D196="Selfie Stick",2500,IF(D196="Cables",800,IF(D196="Ringlight",8500,IF(D196="Speakers",5500,IF(D196="Wireless Mic",7000,IF(D196="Mouse",3200,IF(D196="Powerbanks",6000,IF(D196="Smartwatch",10000,""))))))))))))))</f>
        <v/>
      </c>
      <c r="H196" s="11" t="str">
        <f aca="false">IF(OR(F196="",G196=""),"",F196*G196)</f>
        <v/>
      </c>
      <c r="I196" s="18"/>
      <c r="J196" s="18"/>
    </row>
    <row r="197" customFormat="false" ht="18.75" hidden="false" customHeight="true" outlineLevel="0" collapsed="false">
      <c r="B197" s="5" t="n">
        <v>193</v>
      </c>
      <c r="C197" s="6"/>
      <c r="D197" s="7"/>
      <c r="E197" s="8"/>
      <c r="F197" s="9"/>
      <c r="G197" s="10" t="str">
        <f aca="false">IF(D197="","",IF(D197="EarPods",1500,IF(D197="Button Phone",6000,IF(D197="Memory Card",1000,IF(D197="Charger",1200,IF(D197="Tripod Stand",4500,IF(D197="Selfie Stick",2500,IF(D197="Cables",800,IF(D197="Ringlight",8500,IF(D197="Speakers",5500,IF(D197="Wireless Mic",7000,IF(D197="Mouse",3200,IF(D197="Powerbanks",6000,IF(D197="Smartwatch",10000,""))))))))))))))</f>
        <v/>
      </c>
      <c r="H197" s="11" t="str">
        <f aca="false">IF(OR(F197="",G197=""),"",F197*G197)</f>
        <v/>
      </c>
      <c r="I197" s="12"/>
      <c r="J197" s="12"/>
    </row>
    <row r="198" customFormat="false" ht="18.75" hidden="false" customHeight="true" outlineLevel="0" collapsed="false">
      <c r="B198" s="13" t="n">
        <v>194</v>
      </c>
      <c r="C198" s="14"/>
      <c r="D198" s="15"/>
      <c r="E198" s="16"/>
      <c r="F198" s="17"/>
      <c r="G198" s="10" t="str">
        <f aca="false">IF(D198="","",IF(D198="EarPods",1500,IF(D198="Button Phone",6000,IF(D198="Memory Card",1000,IF(D198="Charger",1200,IF(D198="Tripod Stand",4500,IF(D198="Selfie Stick",2500,IF(D198="Cables",800,IF(D198="Ringlight",8500,IF(D198="Speakers",5500,IF(D198="Wireless Mic",7000,IF(D198="Mouse",3200,IF(D198="Powerbanks",6000,IF(D198="Smartwatch",10000,""))))))))))))))</f>
        <v/>
      </c>
      <c r="H198" s="11" t="str">
        <f aca="false">IF(OR(F198="",G198=""),"",F198*G198)</f>
        <v/>
      </c>
      <c r="I198" s="18"/>
      <c r="J198" s="18"/>
    </row>
    <row r="199" customFormat="false" ht="18.75" hidden="false" customHeight="true" outlineLevel="0" collapsed="false">
      <c r="B199" s="5" t="n">
        <v>195</v>
      </c>
      <c r="C199" s="6"/>
      <c r="D199" s="7"/>
      <c r="E199" s="8"/>
      <c r="F199" s="9"/>
      <c r="G199" s="10" t="str">
        <f aca="false">IF(D199="","",IF(D199="EarPods",1500,IF(D199="Button Phone",6000,IF(D199="Memory Card",1000,IF(D199="Charger",1200,IF(D199="Tripod Stand",4500,IF(D199="Selfie Stick",2500,IF(D199="Cables",800,IF(D199="Ringlight",8500,IF(D199="Speakers",5500,IF(D199="Wireless Mic",7000,IF(D199="Mouse",3200,IF(D199="Powerbanks",6000,IF(D199="Smartwatch",10000,""))))))))))))))</f>
        <v/>
      </c>
      <c r="H199" s="11" t="str">
        <f aca="false">IF(OR(F199="",G199=""),"",F199*G199)</f>
        <v/>
      </c>
      <c r="I199" s="12"/>
      <c r="J199" s="12"/>
    </row>
    <row r="200" customFormat="false" ht="18.75" hidden="false" customHeight="true" outlineLevel="0" collapsed="false">
      <c r="B200" s="13" t="n">
        <v>196</v>
      </c>
      <c r="C200" s="14"/>
      <c r="D200" s="15"/>
      <c r="E200" s="16"/>
      <c r="F200" s="17"/>
      <c r="G200" s="10" t="str">
        <f aca="false">IF(D200="","",IF(D200="EarPods",1500,IF(D200="Button Phone",6000,IF(D200="Memory Card",1000,IF(D200="Charger",1200,IF(D200="Tripod Stand",4500,IF(D200="Selfie Stick",2500,IF(D200="Cables",800,IF(D200="Ringlight",8500,IF(D200="Speakers",5500,IF(D200="Wireless Mic",7000,IF(D200="Mouse",3200,IF(D200="Powerbanks",6000,IF(D200="Smartwatch",10000,""))))))))))))))</f>
        <v/>
      </c>
      <c r="H200" s="11" t="str">
        <f aca="false">IF(OR(F200="",G200=""),"",F200*G200)</f>
        <v/>
      </c>
      <c r="I200" s="18"/>
      <c r="J200" s="18"/>
    </row>
    <row r="201" customFormat="false" ht="18.75" hidden="false" customHeight="true" outlineLevel="0" collapsed="false">
      <c r="B201" s="5" t="n">
        <v>197</v>
      </c>
      <c r="C201" s="6"/>
      <c r="D201" s="7"/>
      <c r="E201" s="8"/>
      <c r="F201" s="9"/>
      <c r="G201" s="10" t="str">
        <f aca="false">IF(D201="","",IF(D201="EarPods",1500,IF(D201="Button Phone",6000,IF(D201="Memory Card",1000,IF(D201="Charger",1200,IF(D201="Tripod Stand",4500,IF(D201="Selfie Stick",2500,IF(D201="Cables",800,IF(D201="Ringlight",8500,IF(D201="Speakers",5500,IF(D201="Wireless Mic",7000,IF(D201="Mouse",3200,IF(D201="Powerbanks",6000,IF(D201="Smartwatch",10000,""))))))))))))))</f>
        <v/>
      </c>
      <c r="H201" s="11" t="str">
        <f aca="false">IF(OR(F201="",G201=""),"",F201*G201)</f>
        <v/>
      </c>
      <c r="I201" s="12"/>
      <c r="J201" s="12"/>
    </row>
    <row r="202" customFormat="false" ht="18.75" hidden="false" customHeight="true" outlineLevel="0" collapsed="false">
      <c r="B202" s="13" t="n">
        <v>198</v>
      </c>
      <c r="C202" s="14"/>
      <c r="D202" s="15"/>
      <c r="E202" s="16"/>
      <c r="F202" s="17"/>
      <c r="G202" s="10" t="str">
        <f aca="false">IF(D202="","",IF(D202="EarPods",1500,IF(D202="Button Phone",6000,IF(D202="Memory Card",1000,IF(D202="Charger",1200,IF(D202="Tripod Stand",4500,IF(D202="Selfie Stick",2500,IF(D202="Cables",800,IF(D202="Ringlight",8500,IF(D202="Speakers",5500,IF(D202="Wireless Mic",7000,IF(D202="Mouse",3200,IF(D202="Powerbanks",6000,IF(D202="Smartwatch",10000,""))))))))))))))</f>
        <v/>
      </c>
      <c r="H202" s="11" t="str">
        <f aca="false">IF(OR(F202="",G202=""),"",F202*G202)</f>
        <v/>
      </c>
      <c r="I202" s="18"/>
      <c r="J202" s="18"/>
    </row>
    <row r="203" customFormat="false" ht="18.75" hidden="false" customHeight="true" outlineLevel="0" collapsed="false">
      <c r="B203" s="5" t="n">
        <v>199</v>
      </c>
      <c r="C203" s="6"/>
      <c r="D203" s="7"/>
      <c r="E203" s="8"/>
      <c r="F203" s="9"/>
      <c r="G203" s="10" t="str">
        <f aca="false">IF(D203="","",IF(D203="EarPods",1500,IF(D203="Button Phone",6000,IF(D203="Memory Card",1000,IF(D203="Charger",1200,IF(D203="Tripod Stand",4500,IF(D203="Selfie Stick",2500,IF(D203="Cables",800,IF(D203="Ringlight",8500,IF(D203="Speakers",5500,IF(D203="Wireless Mic",7000,IF(D203="Mouse",3200,IF(D203="Powerbanks",6000,IF(D203="Smartwatch",10000,""))))))))))))))</f>
        <v/>
      </c>
      <c r="H203" s="11" t="str">
        <f aca="false">IF(OR(F203="",G203=""),"",F203*G203)</f>
        <v/>
      </c>
      <c r="I203" s="12"/>
      <c r="J203" s="12"/>
    </row>
    <row r="204" customFormat="false" ht="18.75" hidden="false" customHeight="true" outlineLevel="0" collapsed="false">
      <c r="B204" s="13" t="n">
        <v>200</v>
      </c>
      <c r="C204" s="14"/>
      <c r="D204" s="15"/>
      <c r="E204" s="16"/>
      <c r="F204" s="17"/>
      <c r="G204" s="10" t="str">
        <f aca="false">IF(D204="","",IF(D204="EarPods",1500,IF(D204="Button Phone",6000,IF(D204="Memory Card",1000,IF(D204="Charger",1200,IF(D204="Tripod Stand",4500,IF(D204="Selfie Stick",2500,IF(D204="Cables",800,IF(D204="Ringlight",8500,IF(D204="Speakers",5500,IF(D204="Wireless Mic",7000,IF(D204="Mouse",3200,IF(D204="Powerbanks",6000,IF(D204="Smartwatch",10000,""))))))))))))))</f>
        <v/>
      </c>
      <c r="H204" s="11" t="str">
        <f aca="false">IF(OR(F204="",G204=""),"",F204*G204)</f>
        <v/>
      </c>
      <c r="I204" s="18"/>
      <c r="J204" s="18"/>
    </row>
    <row r="205" customFormat="false" ht="18.75" hidden="false" customHeight="true" outlineLevel="0" collapsed="false">
      <c r="B205" s="5" t="n">
        <v>201</v>
      </c>
      <c r="C205" s="6"/>
      <c r="D205" s="7"/>
      <c r="E205" s="8"/>
      <c r="F205" s="9"/>
      <c r="G205" s="10" t="str">
        <f aca="false">IF(D205="","",IF(D205="EarPods",1500,IF(D205="Button Phone",6000,IF(D205="Memory Card",1000,IF(D205="Charger",1200,IF(D205="Tripod Stand",4500,IF(D205="Selfie Stick",2500,IF(D205="Cables",800,IF(D205="Ringlight",8500,IF(D205="Speakers",5500,IF(D205="Wireless Mic",7000,IF(D205="Mouse",3200,IF(D205="Powerbanks",6000,IF(D205="Smartwatch",10000,""))))))))))))))</f>
        <v/>
      </c>
      <c r="H205" s="11" t="str">
        <f aca="false">IF(OR(F205="",G205=""),"",F205*G205)</f>
        <v/>
      </c>
      <c r="I205" s="12"/>
      <c r="J205" s="12"/>
    </row>
    <row r="206" customFormat="false" ht="18.75" hidden="false" customHeight="true" outlineLevel="0" collapsed="false">
      <c r="B206" s="13" t="n">
        <v>202</v>
      </c>
      <c r="C206" s="14"/>
      <c r="D206" s="15"/>
      <c r="E206" s="16"/>
      <c r="F206" s="17"/>
      <c r="G206" s="10" t="str">
        <f aca="false">IF(D206="","",IF(D206="EarPods",1500,IF(D206="Button Phone",6000,IF(D206="Memory Card",1000,IF(D206="Charger",1200,IF(D206="Tripod Stand",4500,IF(D206="Selfie Stick",2500,IF(D206="Cables",800,IF(D206="Ringlight",8500,IF(D206="Speakers",5500,IF(D206="Wireless Mic",7000,IF(D206="Mouse",3200,IF(D206="Powerbanks",6000,IF(D206="Smartwatch",10000,""))))))))))))))</f>
        <v/>
      </c>
      <c r="H206" s="11" t="str">
        <f aca="false">IF(OR(F206="",G206=""),"",F206*G206)</f>
        <v/>
      </c>
      <c r="I206" s="18"/>
      <c r="J206" s="18"/>
    </row>
    <row r="207" customFormat="false" ht="18.75" hidden="false" customHeight="true" outlineLevel="0" collapsed="false">
      <c r="B207" s="5" t="n">
        <v>203</v>
      </c>
      <c r="C207" s="6"/>
      <c r="D207" s="7"/>
      <c r="E207" s="8"/>
      <c r="F207" s="9"/>
      <c r="G207" s="10" t="str">
        <f aca="false">IF(D207="","",IF(D207="EarPods",1500,IF(D207="Button Phone",6000,IF(D207="Memory Card",1000,IF(D207="Charger",1200,IF(D207="Tripod Stand",4500,IF(D207="Selfie Stick",2500,IF(D207="Cables",800,IF(D207="Ringlight",8500,IF(D207="Speakers",5500,IF(D207="Wireless Mic",7000,IF(D207="Mouse",3200,IF(D207="Powerbanks",6000,IF(D207="Smartwatch",10000,""))))))))))))))</f>
        <v/>
      </c>
      <c r="H207" s="11" t="str">
        <f aca="false">IF(OR(F207="",G207=""),"",F207*G207)</f>
        <v/>
      </c>
      <c r="I207" s="12"/>
      <c r="J207" s="12"/>
    </row>
    <row r="208" customFormat="false" ht="18.75" hidden="false" customHeight="true" outlineLevel="0" collapsed="false">
      <c r="B208" s="13" t="n">
        <v>204</v>
      </c>
      <c r="C208" s="14"/>
      <c r="D208" s="15"/>
      <c r="E208" s="16"/>
      <c r="F208" s="17"/>
      <c r="G208" s="10" t="str">
        <f aca="false">IF(D208="","",IF(D208="EarPods",1500,IF(D208="Button Phone",6000,IF(D208="Memory Card",1000,IF(D208="Charger",1200,IF(D208="Tripod Stand",4500,IF(D208="Selfie Stick",2500,IF(D208="Cables",800,IF(D208="Ringlight",8500,IF(D208="Speakers",5500,IF(D208="Wireless Mic",7000,IF(D208="Mouse",3200,IF(D208="Powerbanks",6000,IF(D208="Smartwatch",10000,""))))))))))))))</f>
        <v/>
      </c>
      <c r="H208" s="11" t="str">
        <f aca="false">IF(OR(F208="",G208=""),"",F208*G208)</f>
        <v/>
      </c>
      <c r="I208" s="18"/>
      <c r="J208" s="18"/>
    </row>
    <row r="209" customFormat="false" ht="18.75" hidden="false" customHeight="true" outlineLevel="0" collapsed="false">
      <c r="B209" s="5" t="n">
        <v>205</v>
      </c>
      <c r="C209" s="6"/>
      <c r="D209" s="7"/>
      <c r="E209" s="8"/>
      <c r="F209" s="9"/>
      <c r="G209" s="10" t="str">
        <f aca="false">IF(D209="","",IF(D209="EarPods",1500,IF(D209="Button Phone",6000,IF(D209="Memory Card",1000,IF(D209="Charger",1200,IF(D209="Tripod Stand",4500,IF(D209="Selfie Stick",2500,IF(D209="Cables",800,IF(D209="Ringlight",8500,IF(D209="Speakers",5500,IF(D209="Wireless Mic",7000,IF(D209="Mouse",3200,IF(D209="Powerbanks",6000,IF(D209="Smartwatch",10000,""))))))))))))))</f>
        <v/>
      </c>
      <c r="H209" s="11" t="str">
        <f aca="false">IF(OR(F209="",G209=""),"",F209*G209)</f>
        <v/>
      </c>
      <c r="I209" s="12"/>
      <c r="J209" s="12"/>
    </row>
    <row r="210" customFormat="false" ht="18.75" hidden="false" customHeight="true" outlineLevel="0" collapsed="false">
      <c r="B210" s="13" t="n">
        <v>206</v>
      </c>
      <c r="C210" s="14"/>
      <c r="D210" s="15"/>
      <c r="E210" s="16"/>
      <c r="F210" s="17"/>
      <c r="G210" s="10" t="str">
        <f aca="false">IF(D210="","",IF(D210="EarPods",1500,IF(D210="Button Phone",6000,IF(D210="Memory Card",1000,IF(D210="Charger",1200,IF(D210="Tripod Stand",4500,IF(D210="Selfie Stick",2500,IF(D210="Cables",800,IF(D210="Ringlight",8500,IF(D210="Speakers",5500,IF(D210="Wireless Mic",7000,IF(D210="Mouse",3200,IF(D210="Powerbanks",6000,IF(D210="Smartwatch",10000,""))))))))))))))</f>
        <v/>
      </c>
      <c r="H210" s="11" t="str">
        <f aca="false">IF(OR(F210="",G210=""),"",F210*G210)</f>
        <v/>
      </c>
      <c r="I210" s="18"/>
      <c r="J210" s="18"/>
    </row>
    <row r="211" customFormat="false" ht="18.75" hidden="false" customHeight="true" outlineLevel="0" collapsed="false">
      <c r="B211" s="5" t="n">
        <v>207</v>
      </c>
      <c r="C211" s="6"/>
      <c r="D211" s="7"/>
      <c r="E211" s="8"/>
      <c r="F211" s="9"/>
      <c r="G211" s="10" t="str">
        <f aca="false">IF(D211="","",IF(D211="EarPods",1500,IF(D211="Button Phone",6000,IF(D211="Memory Card",1000,IF(D211="Charger",1200,IF(D211="Tripod Stand",4500,IF(D211="Selfie Stick",2500,IF(D211="Cables",800,IF(D211="Ringlight",8500,IF(D211="Speakers",5500,IF(D211="Wireless Mic",7000,IF(D211="Mouse",3200,IF(D211="Powerbanks",6000,IF(D211="Smartwatch",10000,""))))))))))))))</f>
        <v/>
      </c>
      <c r="H211" s="11" t="str">
        <f aca="false">IF(OR(F211="",G211=""),"",F211*G211)</f>
        <v/>
      </c>
      <c r="I211" s="12"/>
      <c r="J211" s="12"/>
    </row>
    <row r="212" customFormat="false" ht="18.75" hidden="false" customHeight="true" outlineLevel="0" collapsed="false">
      <c r="B212" s="13" t="n">
        <v>208</v>
      </c>
      <c r="C212" s="14"/>
      <c r="D212" s="15"/>
      <c r="E212" s="16"/>
      <c r="F212" s="17"/>
      <c r="G212" s="10" t="str">
        <f aca="false">IF(D212="","",IF(D212="EarPods",1500,IF(D212="Button Phone",6000,IF(D212="Memory Card",1000,IF(D212="Charger",1200,IF(D212="Tripod Stand",4500,IF(D212="Selfie Stick",2500,IF(D212="Cables",800,IF(D212="Ringlight",8500,IF(D212="Speakers",5500,IF(D212="Wireless Mic",7000,IF(D212="Mouse",3200,IF(D212="Powerbanks",6000,IF(D212="Smartwatch",10000,""))))))))))))))</f>
        <v/>
      </c>
      <c r="H212" s="11" t="str">
        <f aca="false">IF(OR(F212="",G212=""),"",F212*G212)</f>
        <v/>
      </c>
      <c r="I212" s="18"/>
      <c r="J212" s="18"/>
    </row>
    <row r="213" customFormat="false" ht="18.75" hidden="false" customHeight="true" outlineLevel="0" collapsed="false">
      <c r="B213" s="5" t="n">
        <v>209</v>
      </c>
      <c r="C213" s="6"/>
      <c r="D213" s="7"/>
      <c r="E213" s="8"/>
      <c r="F213" s="9"/>
      <c r="G213" s="10" t="str">
        <f aca="false">IF(D213="","",IF(D213="EarPods",1500,IF(D213="Button Phone",6000,IF(D213="Memory Card",1000,IF(D213="Charger",1200,IF(D213="Tripod Stand",4500,IF(D213="Selfie Stick",2500,IF(D213="Cables",800,IF(D213="Ringlight",8500,IF(D213="Speakers",5500,IF(D213="Wireless Mic",7000,IF(D213="Mouse",3200,IF(D213="Powerbanks",6000,IF(D213="Smartwatch",10000,""))))))))))))))</f>
        <v/>
      </c>
      <c r="H213" s="11" t="str">
        <f aca="false">IF(OR(F213="",G213=""),"",F213*G213)</f>
        <v/>
      </c>
      <c r="I213" s="12"/>
      <c r="J213" s="12"/>
    </row>
    <row r="214" customFormat="false" ht="18.75" hidden="false" customHeight="true" outlineLevel="0" collapsed="false">
      <c r="B214" s="13" t="n">
        <v>210</v>
      </c>
      <c r="C214" s="14"/>
      <c r="D214" s="15"/>
      <c r="E214" s="16"/>
      <c r="F214" s="17"/>
      <c r="G214" s="10" t="str">
        <f aca="false">IF(D214="","",IF(D214="EarPods",1500,IF(D214="Button Phone",6000,IF(D214="Memory Card",1000,IF(D214="Charger",1200,IF(D214="Tripod Stand",4500,IF(D214="Selfie Stick",2500,IF(D214="Cables",800,IF(D214="Ringlight",8500,IF(D214="Speakers",5500,IF(D214="Wireless Mic",7000,IF(D214="Mouse",3200,IF(D214="Powerbanks",6000,IF(D214="Smartwatch",10000,""))))))))))))))</f>
        <v/>
      </c>
      <c r="H214" s="11" t="str">
        <f aca="false">IF(OR(F214="",G214=""),"",F214*G214)</f>
        <v/>
      </c>
      <c r="I214" s="18"/>
      <c r="J214" s="18"/>
    </row>
    <row r="215" customFormat="false" ht="18.75" hidden="false" customHeight="true" outlineLevel="0" collapsed="false">
      <c r="B215" s="5" t="n">
        <v>211</v>
      </c>
      <c r="C215" s="6"/>
      <c r="D215" s="7"/>
      <c r="E215" s="8"/>
      <c r="F215" s="9"/>
      <c r="G215" s="10" t="str">
        <f aca="false">IF(D215="","",IF(D215="EarPods",1500,IF(D215="Button Phone",6000,IF(D215="Memory Card",1000,IF(D215="Charger",1200,IF(D215="Tripod Stand",4500,IF(D215="Selfie Stick",2500,IF(D215="Cables",800,IF(D215="Ringlight",8500,IF(D215="Speakers",5500,IF(D215="Wireless Mic",7000,IF(D215="Mouse",3200,IF(D215="Powerbanks",6000,IF(D215="Smartwatch",10000,""))))))))))))))</f>
        <v/>
      </c>
      <c r="H215" s="11" t="str">
        <f aca="false">IF(OR(F215="",G215=""),"",F215*G215)</f>
        <v/>
      </c>
      <c r="I215" s="12"/>
      <c r="J215" s="12"/>
    </row>
    <row r="216" customFormat="false" ht="18.75" hidden="false" customHeight="true" outlineLevel="0" collapsed="false">
      <c r="B216" s="13" t="n">
        <v>212</v>
      </c>
      <c r="C216" s="14"/>
      <c r="D216" s="15"/>
      <c r="E216" s="16"/>
      <c r="F216" s="17"/>
      <c r="G216" s="10" t="str">
        <f aca="false">IF(D216="","",IF(D216="EarPods",1500,IF(D216="Button Phone",6000,IF(D216="Memory Card",1000,IF(D216="Charger",1200,IF(D216="Tripod Stand",4500,IF(D216="Selfie Stick",2500,IF(D216="Cables",800,IF(D216="Ringlight",8500,IF(D216="Speakers",5500,IF(D216="Wireless Mic",7000,IF(D216="Mouse",3200,IF(D216="Powerbanks",6000,IF(D216="Smartwatch",10000,""))))))))))))))</f>
        <v/>
      </c>
      <c r="H216" s="11" t="str">
        <f aca="false">IF(OR(F216="",G216=""),"",F216*G216)</f>
        <v/>
      </c>
      <c r="I216" s="18"/>
      <c r="J216" s="18"/>
    </row>
    <row r="217" customFormat="false" ht="18.75" hidden="false" customHeight="true" outlineLevel="0" collapsed="false">
      <c r="B217" s="5" t="n">
        <v>213</v>
      </c>
      <c r="C217" s="6"/>
      <c r="D217" s="7"/>
      <c r="E217" s="8"/>
      <c r="F217" s="9"/>
      <c r="G217" s="10" t="str">
        <f aca="false">IF(D217="","",IF(D217="EarPods",1500,IF(D217="Button Phone",6000,IF(D217="Memory Card",1000,IF(D217="Charger",1200,IF(D217="Tripod Stand",4500,IF(D217="Selfie Stick",2500,IF(D217="Cables",800,IF(D217="Ringlight",8500,IF(D217="Speakers",5500,IF(D217="Wireless Mic",7000,IF(D217="Mouse",3200,IF(D217="Powerbanks",6000,IF(D217="Smartwatch",10000,""))))))))))))))</f>
        <v/>
      </c>
      <c r="H217" s="11" t="str">
        <f aca="false">IF(OR(F217="",G217=""),"",F217*G217)</f>
        <v/>
      </c>
      <c r="I217" s="12"/>
      <c r="J217" s="12"/>
    </row>
    <row r="218" customFormat="false" ht="18.75" hidden="false" customHeight="true" outlineLevel="0" collapsed="false">
      <c r="B218" s="13" t="n">
        <v>214</v>
      </c>
      <c r="C218" s="14"/>
      <c r="D218" s="15"/>
      <c r="E218" s="16"/>
      <c r="F218" s="17"/>
      <c r="G218" s="10" t="str">
        <f aca="false">IF(D218="","",IF(D218="EarPods",1500,IF(D218="Button Phone",6000,IF(D218="Memory Card",1000,IF(D218="Charger",1200,IF(D218="Tripod Stand",4500,IF(D218="Selfie Stick",2500,IF(D218="Cables",800,IF(D218="Ringlight",8500,IF(D218="Speakers",5500,IF(D218="Wireless Mic",7000,IF(D218="Mouse",3200,IF(D218="Powerbanks",6000,IF(D218="Smartwatch",10000,""))))))))))))))</f>
        <v/>
      </c>
      <c r="H218" s="11" t="str">
        <f aca="false">IF(OR(F218="",G218=""),"",F218*G218)</f>
        <v/>
      </c>
      <c r="I218" s="18"/>
      <c r="J218" s="18"/>
    </row>
    <row r="219" customFormat="false" ht="18.75" hidden="false" customHeight="true" outlineLevel="0" collapsed="false">
      <c r="B219" s="5" t="n">
        <v>215</v>
      </c>
      <c r="C219" s="6"/>
      <c r="D219" s="7"/>
      <c r="E219" s="8"/>
      <c r="F219" s="9"/>
      <c r="G219" s="10" t="str">
        <f aca="false">IF(D219="","",IF(D219="EarPods",1500,IF(D219="Button Phone",6000,IF(D219="Memory Card",1000,IF(D219="Charger",1200,IF(D219="Tripod Stand",4500,IF(D219="Selfie Stick",2500,IF(D219="Cables",800,IF(D219="Ringlight",8500,IF(D219="Speakers",5500,IF(D219="Wireless Mic",7000,IF(D219="Mouse",3200,IF(D219="Powerbanks",6000,IF(D219="Smartwatch",10000,""))))))))))))))</f>
        <v/>
      </c>
      <c r="H219" s="11" t="str">
        <f aca="false">IF(OR(F219="",G219=""),"",F219*G219)</f>
        <v/>
      </c>
      <c r="I219" s="12"/>
      <c r="J219" s="12"/>
    </row>
    <row r="220" customFormat="false" ht="18.75" hidden="false" customHeight="true" outlineLevel="0" collapsed="false">
      <c r="B220" s="13" t="n">
        <v>216</v>
      </c>
      <c r="C220" s="14"/>
      <c r="D220" s="15"/>
      <c r="E220" s="16"/>
      <c r="F220" s="17"/>
      <c r="G220" s="10" t="str">
        <f aca="false">IF(D220="","",IF(D220="EarPods",1500,IF(D220="Button Phone",6000,IF(D220="Memory Card",1000,IF(D220="Charger",1200,IF(D220="Tripod Stand",4500,IF(D220="Selfie Stick",2500,IF(D220="Cables",800,IF(D220="Ringlight",8500,IF(D220="Speakers",5500,IF(D220="Wireless Mic",7000,IF(D220="Mouse",3200,IF(D220="Powerbanks",6000,IF(D220="Smartwatch",10000,""))))))))))))))</f>
        <v/>
      </c>
      <c r="H220" s="11" t="str">
        <f aca="false">IF(OR(F220="",G220=""),"",F220*G220)</f>
        <v/>
      </c>
      <c r="I220" s="18"/>
      <c r="J220" s="18"/>
    </row>
    <row r="221" customFormat="false" ht="18.75" hidden="false" customHeight="true" outlineLevel="0" collapsed="false">
      <c r="B221" s="5" t="n">
        <v>217</v>
      </c>
      <c r="C221" s="6"/>
      <c r="D221" s="7"/>
      <c r="E221" s="8"/>
      <c r="F221" s="9"/>
      <c r="G221" s="10" t="str">
        <f aca="false">IF(D221="","",IF(D221="EarPods",1500,IF(D221="Button Phone",6000,IF(D221="Memory Card",1000,IF(D221="Charger",1200,IF(D221="Tripod Stand",4500,IF(D221="Selfie Stick",2500,IF(D221="Cables",800,IF(D221="Ringlight",8500,IF(D221="Speakers",5500,IF(D221="Wireless Mic",7000,IF(D221="Mouse",3200,IF(D221="Powerbanks",6000,IF(D221="Smartwatch",10000,""))))))))))))))</f>
        <v/>
      </c>
      <c r="H221" s="11" t="str">
        <f aca="false">IF(OR(F221="",G221=""),"",F221*G221)</f>
        <v/>
      </c>
      <c r="I221" s="12"/>
      <c r="J221" s="12"/>
    </row>
    <row r="222" customFormat="false" ht="18.75" hidden="false" customHeight="true" outlineLevel="0" collapsed="false">
      <c r="B222" s="13" t="n">
        <v>218</v>
      </c>
      <c r="C222" s="14"/>
      <c r="D222" s="15"/>
      <c r="E222" s="16"/>
      <c r="F222" s="17"/>
      <c r="G222" s="10" t="str">
        <f aca="false">IF(D222="","",IF(D222="EarPods",1500,IF(D222="Button Phone",6000,IF(D222="Memory Card",1000,IF(D222="Charger",1200,IF(D222="Tripod Stand",4500,IF(D222="Selfie Stick",2500,IF(D222="Cables",800,IF(D222="Ringlight",8500,IF(D222="Speakers",5500,IF(D222="Wireless Mic",7000,IF(D222="Mouse",3200,IF(D222="Powerbanks",6000,IF(D222="Smartwatch",10000,""))))))))))))))</f>
        <v/>
      </c>
      <c r="H222" s="11" t="str">
        <f aca="false">IF(OR(F222="",G222=""),"",F222*G222)</f>
        <v/>
      </c>
      <c r="I222" s="18"/>
      <c r="J222" s="18"/>
    </row>
    <row r="223" customFormat="false" ht="18.75" hidden="false" customHeight="true" outlineLevel="0" collapsed="false">
      <c r="B223" s="5" t="n">
        <v>219</v>
      </c>
      <c r="C223" s="6"/>
      <c r="D223" s="7"/>
      <c r="E223" s="8"/>
      <c r="F223" s="9"/>
      <c r="G223" s="10" t="str">
        <f aca="false">IF(D223="","",IF(D223="EarPods",1500,IF(D223="Button Phone",6000,IF(D223="Memory Card",1000,IF(D223="Charger",1200,IF(D223="Tripod Stand",4500,IF(D223="Selfie Stick",2500,IF(D223="Cables",800,IF(D223="Ringlight",8500,IF(D223="Speakers",5500,IF(D223="Wireless Mic",7000,IF(D223="Mouse",3200,IF(D223="Powerbanks",6000,IF(D223="Smartwatch",10000,""))))))))))))))</f>
        <v/>
      </c>
      <c r="H223" s="11" t="str">
        <f aca="false">IF(OR(F223="",G223=""),"",F223*G223)</f>
        <v/>
      </c>
      <c r="I223" s="12"/>
      <c r="J223" s="12"/>
    </row>
    <row r="224" customFormat="false" ht="18.75" hidden="false" customHeight="true" outlineLevel="0" collapsed="false">
      <c r="B224" s="13" t="n">
        <v>220</v>
      </c>
      <c r="C224" s="14"/>
      <c r="D224" s="15"/>
      <c r="E224" s="16"/>
      <c r="F224" s="17"/>
      <c r="G224" s="10" t="str">
        <f aca="false">IF(D224="","",IF(D224="EarPods",1500,IF(D224="Button Phone",6000,IF(D224="Memory Card",1000,IF(D224="Charger",1200,IF(D224="Tripod Stand",4500,IF(D224="Selfie Stick",2500,IF(D224="Cables",800,IF(D224="Ringlight",8500,IF(D224="Speakers",5500,IF(D224="Wireless Mic",7000,IF(D224="Mouse",3200,IF(D224="Powerbanks",6000,IF(D224="Smartwatch",10000,""))))))))))))))</f>
        <v/>
      </c>
      <c r="H224" s="11" t="str">
        <f aca="false">IF(OR(F224="",G224=""),"",F224*G224)</f>
        <v/>
      </c>
      <c r="I224" s="18"/>
      <c r="J224" s="18"/>
    </row>
    <row r="225" customFormat="false" ht="18.75" hidden="false" customHeight="true" outlineLevel="0" collapsed="false">
      <c r="B225" s="5" t="n">
        <v>221</v>
      </c>
      <c r="C225" s="6"/>
      <c r="D225" s="7"/>
      <c r="E225" s="8"/>
      <c r="F225" s="9"/>
      <c r="G225" s="10" t="str">
        <f aca="false">IF(D225="","",IF(D225="EarPods",1500,IF(D225="Button Phone",6000,IF(D225="Memory Card",1000,IF(D225="Charger",1200,IF(D225="Tripod Stand",4500,IF(D225="Selfie Stick",2500,IF(D225="Cables",800,IF(D225="Ringlight",8500,IF(D225="Speakers",5500,IF(D225="Wireless Mic",7000,IF(D225="Mouse",3200,IF(D225="Powerbanks",6000,IF(D225="Smartwatch",10000,""))))))))))))))</f>
        <v/>
      </c>
      <c r="H225" s="11" t="str">
        <f aca="false">IF(OR(F225="",G225=""),"",F225*G225)</f>
        <v/>
      </c>
      <c r="I225" s="12"/>
      <c r="J225" s="12"/>
    </row>
    <row r="226" customFormat="false" ht="18.75" hidden="false" customHeight="true" outlineLevel="0" collapsed="false">
      <c r="B226" s="13" t="n">
        <v>222</v>
      </c>
      <c r="C226" s="14"/>
      <c r="D226" s="15"/>
      <c r="E226" s="16"/>
      <c r="F226" s="17"/>
      <c r="G226" s="10" t="str">
        <f aca="false">IF(D226="","",IF(D226="EarPods",1500,IF(D226="Button Phone",6000,IF(D226="Memory Card",1000,IF(D226="Charger",1200,IF(D226="Tripod Stand",4500,IF(D226="Selfie Stick",2500,IF(D226="Cables",800,IF(D226="Ringlight",8500,IF(D226="Speakers",5500,IF(D226="Wireless Mic",7000,IF(D226="Mouse",3200,IF(D226="Powerbanks",6000,IF(D226="Smartwatch",10000,""))))))))))))))</f>
        <v/>
      </c>
      <c r="H226" s="11" t="str">
        <f aca="false">IF(OR(F226="",G226=""),"",F226*G226)</f>
        <v/>
      </c>
      <c r="I226" s="18"/>
      <c r="J226" s="18"/>
    </row>
    <row r="227" customFormat="false" ht="18.75" hidden="false" customHeight="true" outlineLevel="0" collapsed="false">
      <c r="B227" s="5" t="n">
        <v>223</v>
      </c>
      <c r="C227" s="6"/>
      <c r="D227" s="7"/>
      <c r="E227" s="8"/>
      <c r="F227" s="9"/>
      <c r="G227" s="10" t="str">
        <f aca="false">IF(D227="","",IF(D227="EarPods",1500,IF(D227="Button Phone",6000,IF(D227="Memory Card",1000,IF(D227="Charger",1200,IF(D227="Tripod Stand",4500,IF(D227="Selfie Stick",2500,IF(D227="Cables",800,IF(D227="Ringlight",8500,IF(D227="Speakers",5500,IF(D227="Wireless Mic",7000,IF(D227="Mouse",3200,IF(D227="Powerbanks",6000,IF(D227="Smartwatch",10000,""))))))))))))))</f>
        <v/>
      </c>
      <c r="H227" s="11" t="str">
        <f aca="false">IF(OR(F227="",G227=""),"",F227*G227)</f>
        <v/>
      </c>
      <c r="I227" s="12"/>
      <c r="J227" s="12"/>
    </row>
    <row r="228" customFormat="false" ht="18.75" hidden="false" customHeight="true" outlineLevel="0" collapsed="false">
      <c r="B228" s="13" t="n">
        <v>224</v>
      </c>
      <c r="C228" s="14"/>
      <c r="D228" s="15"/>
      <c r="E228" s="16"/>
      <c r="F228" s="17"/>
      <c r="G228" s="10" t="str">
        <f aca="false">IF(D228="","",IF(D228="EarPods",1500,IF(D228="Button Phone",6000,IF(D228="Memory Card",1000,IF(D228="Charger",1200,IF(D228="Tripod Stand",4500,IF(D228="Selfie Stick",2500,IF(D228="Cables",800,IF(D228="Ringlight",8500,IF(D228="Speakers",5500,IF(D228="Wireless Mic",7000,IF(D228="Mouse",3200,IF(D228="Powerbanks",6000,IF(D228="Smartwatch",10000,""))))))))))))))</f>
        <v/>
      </c>
      <c r="H228" s="11" t="str">
        <f aca="false">IF(OR(F228="",G228=""),"",F228*G228)</f>
        <v/>
      </c>
      <c r="I228" s="18"/>
      <c r="J228" s="18"/>
    </row>
    <row r="229" customFormat="false" ht="18.75" hidden="false" customHeight="true" outlineLevel="0" collapsed="false">
      <c r="B229" s="5" t="n">
        <v>225</v>
      </c>
      <c r="C229" s="6"/>
      <c r="D229" s="7"/>
      <c r="E229" s="8"/>
      <c r="F229" s="9"/>
      <c r="G229" s="10" t="str">
        <f aca="false">IF(D229="","",IF(D229="EarPods",1500,IF(D229="Button Phone",6000,IF(D229="Memory Card",1000,IF(D229="Charger",1200,IF(D229="Tripod Stand",4500,IF(D229="Selfie Stick",2500,IF(D229="Cables",800,IF(D229="Ringlight",8500,IF(D229="Speakers",5500,IF(D229="Wireless Mic",7000,IF(D229="Mouse",3200,IF(D229="Powerbanks",6000,IF(D229="Smartwatch",10000,""))))))))))))))</f>
        <v/>
      </c>
      <c r="H229" s="11" t="str">
        <f aca="false">IF(OR(F229="",G229=""),"",F229*G229)</f>
        <v/>
      </c>
      <c r="I229" s="12"/>
      <c r="J229" s="12"/>
    </row>
    <row r="230" customFormat="false" ht="18.75" hidden="false" customHeight="true" outlineLevel="0" collapsed="false">
      <c r="B230" s="13" t="n">
        <v>226</v>
      </c>
      <c r="C230" s="14"/>
      <c r="D230" s="15"/>
      <c r="E230" s="16"/>
      <c r="F230" s="17"/>
      <c r="G230" s="10" t="str">
        <f aca="false">IF(D230="","",IF(D230="EarPods",1500,IF(D230="Button Phone",6000,IF(D230="Memory Card",1000,IF(D230="Charger",1200,IF(D230="Tripod Stand",4500,IF(D230="Selfie Stick",2500,IF(D230="Cables",800,IF(D230="Ringlight",8500,IF(D230="Speakers",5500,IF(D230="Wireless Mic",7000,IF(D230="Mouse",3200,IF(D230="Powerbanks",6000,IF(D230="Smartwatch",10000,""))))))))))))))</f>
        <v/>
      </c>
      <c r="H230" s="11" t="str">
        <f aca="false">IF(OR(F230="",G230=""),"",F230*G230)</f>
        <v/>
      </c>
      <c r="I230" s="18"/>
      <c r="J230" s="18"/>
    </row>
    <row r="231" customFormat="false" ht="18.75" hidden="false" customHeight="true" outlineLevel="0" collapsed="false">
      <c r="B231" s="5" t="n">
        <v>227</v>
      </c>
      <c r="C231" s="6"/>
      <c r="D231" s="7"/>
      <c r="E231" s="8"/>
      <c r="F231" s="9"/>
      <c r="G231" s="10" t="str">
        <f aca="false">IF(D231="","",IF(D231="EarPods",1500,IF(D231="Button Phone",6000,IF(D231="Memory Card",1000,IF(D231="Charger",1200,IF(D231="Tripod Stand",4500,IF(D231="Selfie Stick",2500,IF(D231="Cables",800,IF(D231="Ringlight",8500,IF(D231="Speakers",5500,IF(D231="Wireless Mic",7000,IF(D231="Mouse",3200,IF(D231="Powerbanks",6000,IF(D231="Smartwatch",10000,""))))))))))))))</f>
        <v/>
      </c>
      <c r="H231" s="11" t="str">
        <f aca="false">IF(OR(F231="",G231=""),"",F231*G231)</f>
        <v/>
      </c>
      <c r="I231" s="12"/>
      <c r="J231" s="12"/>
    </row>
    <row r="232" customFormat="false" ht="18.75" hidden="false" customHeight="true" outlineLevel="0" collapsed="false">
      <c r="B232" s="13" t="n">
        <v>228</v>
      </c>
      <c r="C232" s="14"/>
      <c r="D232" s="15"/>
      <c r="E232" s="16"/>
      <c r="F232" s="17"/>
      <c r="G232" s="10" t="str">
        <f aca="false">IF(D232="","",IF(D232="EarPods",1500,IF(D232="Button Phone",6000,IF(D232="Memory Card",1000,IF(D232="Charger",1200,IF(D232="Tripod Stand",4500,IF(D232="Selfie Stick",2500,IF(D232="Cables",800,IF(D232="Ringlight",8500,IF(D232="Speakers",5500,IF(D232="Wireless Mic",7000,IF(D232="Mouse",3200,IF(D232="Powerbanks",6000,IF(D232="Smartwatch",10000,""))))))))))))))</f>
        <v/>
      </c>
      <c r="H232" s="11" t="str">
        <f aca="false">IF(OR(F232="",G232=""),"",F232*G232)</f>
        <v/>
      </c>
      <c r="I232" s="18"/>
      <c r="J232" s="18"/>
    </row>
    <row r="233" customFormat="false" ht="18.75" hidden="false" customHeight="true" outlineLevel="0" collapsed="false">
      <c r="B233" s="5" t="n">
        <v>229</v>
      </c>
      <c r="C233" s="6"/>
      <c r="D233" s="7"/>
      <c r="E233" s="8"/>
      <c r="F233" s="9"/>
      <c r="G233" s="10" t="str">
        <f aca="false">IF(D233="","",IF(D233="EarPods",1500,IF(D233="Button Phone",6000,IF(D233="Memory Card",1000,IF(D233="Charger",1200,IF(D233="Tripod Stand",4500,IF(D233="Selfie Stick",2500,IF(D233="Cables",800,IF(D233="Ringlight",8500,IF(D233="Speakers",5500,IF(D233="Wireless Mic",7000,IF(D233="Mouse",3200,IF(D233="Powerbanks",6000,IF(D233="Smartwatch",10000,""))))))))))))))</f>
        <v/>
      </c>
      <c r="H233" s="11" t="str">
        <f aca="false">IF(OR(F233="",G233=""),"",F233*G233)</f>
        <v/>
      </c>
      <c r="I233" s="12"/>
      <c r="J233" s="12"/>
    </row>
    <row r="234" customFormat="false" ht="18.75" hidden="false" customHeight="true" outlineLevel="0" collapsed="false">
      <c r="B234" s="13" t="n">
        <v>230</v>
      </c>
      <c r="C234" s="14"/>
      <c r="D234" s="15"/>
      <c r="E234" s="16"/>
      <c r="F234" s="17"/>
      <c r="G234" s="10" t="str">
        <f aca="false">IF(D234="","",IF(D234="EarPods",1500,IF(D234="Button Phone",6000,IF(D234="Memory Card",1000,IF(D234="Charger",1200,IF(D234="Tripod Stand",4500,IF(D234="Selfie Stick",2500,IF(D234="Cables",800,IF(D234="Ringlight",8500,IF(D234="Speakers",5500,IF(D234="Wireless Mic",7000,IF(D234="Mouse",3200,IF(D234="Powerbanks",6000,IF(D234="Smartwatch",10000,""))))))))))))))</f>
        <v/>
      </c>
      <c r="H234" s="11" t="str">
        <f aca="false">IF(OR(F234="",G234=""),"",F234*G234)</f>
        <v/>
      </c>
      <c r="I234" s="18"/>
      <c r="J234" s="18"/>
    </row>
    <row r="235" customFormat="false" ht="18.75" hidden="false" customHeight="true" outlineLevel="0" collapsed="false">
      <c r="B235" s="5" t="n">
        <v>231</v>
      </c>
      <c r="C235" s="6"/>
      <c r="D235" s="7"/>
      <c r="E235" s="8"/>
      <c r="F235" s="9"/>
      <c r="G235" s="10" t="str">
        <f aca="false">IF(D235="","",IF(D235="EarPods",1500,IF(D235="Button Phone",6000,IF(D235="Memory Card",1000,IF(D235="Charger",1200,IF(D235="Tripod Stand",4500,IF(D235="Selfie Stick",2500,IF(D235="Cables",800,IF(D235="Ringlight",8500,IF(D235="Speakers",5500,IF(D235="Wireless Mic",7000,IF(D235="Mouse",3200,IF(D235="Powerbanks",6000,IF(D235="Smartwatch",10000,""))))))))))))))</f>
        <v/>
      </c>
      <c r="H235" s="11" t="str">
        <f aca="false">IF(OR(F235="",G235=""),"",F235*G235)</f>
        <v/>
      </c>
      <c r="I235" s="12"/>
      <c r="J235" s="12"/>
    </row>
    <row r="236" customFormat="false" ht="18.75" hidden="false" customHeight="true" outlineLevel="0" collapsed="false">
      <c r="B236" s="13" t="n">
        <v>232</v>
      </c>
      <c r="C236" s="14"/>
      <c r="D236" s="15"/>
      <c r="E236" s="16"/>
      <c r="F236" s="17"/>
      <c r="G236" s="10" t="str">
        <f aca="false">IF(D236="","",IF(D236="EarPods",1500,IF(D236="Button Phone",6000,IF(D236="Memory Card",1000,IF(D236="Charger",1200,IF(D236="Tripod Stand",4500,IF(D236="Selfie Stick",2500,IF(D236="Cables",800,IF(D236="Ringlight",8500,IF(D236="Speakers",5500,IF(D236="Wireless Mic",7000,IF(D236="Mouse",3200,IF(D236="Powerbanks",6000,IF(D236="Smartwatch",10000,""))))))))))))))</f>
        <v/>
      </c>
      <c r="H236" s="11" t="str">
        <f aca="false">IF(OR(F236="",G236=""),"",F236*G236)</f>
        <v/>
      </c>
      <c r="I236" s="18"/>
      <c r="J236" s="18"/>
    </row>
    <row r="237" customFormat="false" ht="18.75" hidden="false" customHeight="true" outlineLevel="0" collapsed="false">
      <c r="B237" s="5" t="n">
        <v>233</v>
      </c>
      <c r="C237" s="6"/>
      <c r="D237" s="7"/>
      <c r="E237" s="8"/>
      <c r="F237" s="9"/>
      <c r="G237" s="10" t="str">
        <f aca="false">IF(D237="","",IF(D237="EarPods",1500,IF(D237="Button Phone",6000,IF(D237="Memory Card",1000,IF(D237="Charger",1200,IF(D237="Tripod Stand",4500,IF(D237="Selfie Stick",2500,IF(D237="Cables",800,IF(D237="Ringlight",8500,IF(D237="Speakers",5500,IF(D237="Wireless Mic",7000,IF(D237="Mouse",3200,IF(D237="Powerbanks",6000,IF(D237="Smartwatch",10000,""))))))))))))))</f>
        <v/>
      </c>
      <c r="H237" s="11" t="str">
        <f aca="false">IF(OR(F237="",G237=""),"",F237*G237)</f>
        <v/>
      </c>
      <c r="I237" s="12"/>
      <c r="J237" s="12"/>
    </row>
    <row r="238" customFormat="false" ht="18.75" hidden="false" customHeight="true" outlineLevel="0" collapsed="false">
      <c r="B238" s="13" t="n">
        <v>234</v>
      </c>
      <c r="C238" s="14"/>
      <c r="D238" s="15"/>
      <c r="E238" s="16"/>
      <c r="F238" s="17"/>
      <c r="G238" s="10" t="str">
        <f aca="false">IF(D238="","",IF(D238="EarPods",1500,IF(D238="Button Phone",6000,IF(D238="Memory Card",1000,IF(D238="Charger",1200,IF(D238="Tripod Stand",4500,IF(D238="Selfie Stick",2500,IF(D238="Cables",800,IF(D238="Ringlight",8500,IF(D238="Speakers",5500,IF(D238="Wireless Mic",7000,IF(D238="Mouse",3200,IF(D238="Powerbanks",6000,IF(D238="Smartwatch",10000,""))))))))))))))</f>
        <v/>
      </c>
      <c r="H238" s="11" t="str">
        <f aca="false">IF(OR(F238="",G238=""),"",F238*G238)</f>
        <v/>
      </c>
      <c r="I238" s="18"/>
      <c r="J238" s="18"/>
    </row>
    <row r="239" customFormat="false" ht="18.75" hidden="false" customHeight="true" outlineLevel="0" collapsed="false">
      <c r="B239" s="5" t="n">
        <v>235</v>
      </c>
      <c r="C239" s="6"/>
      <c r="D239" s="7"/>
      <c r="E239" s="8"/>
      <c r="F239" s="9"/>
      <c r="G239" s="10" t="str">
        <f aca="false">IF(D239="","",IF(D239="EarPods",1500,IF(D239="Button Phone",6000,IF(D239="Memory Card",1000,IF(D239="Charger",1200,IF(D239="Tripod Stand",4500,IF(D239="Selfie Stick",2500,IF(D239="Cables",800,IF(D239="Ringlight",8500,IF(D239="Speakers",5500,IF(D239="Wireless Mic",7000,IF(D239="Mouse",3200,IF(D239="Powerbanks",6000,IF(D239="Smartwatch",10000,""))))))))))))))</f>
        <v/>
      </c>
      <c r="H239" s="11" t="str">
        <f aca="false">IF(OR(F239="",G239=""),"",F239*G239)</f>
        <v/>
      </c>
      <c r="I239" s="12"/>
      <c r="J239" s="12"/>
    </row>
    <row r="240" customFormat="false" ht="18.75" hidden="false" customHeight="true" outlineLevel="0" collapsed="false">
      <c r="B240" s="13" t="n">
        <v>236</v>
      </c>
      <c r="C240" s="14"/>
      <c r="D240" s="15"/>
      <c r="E240" s="16"/>
      <c r="F240" s="17"/>
      <c r="G240" s="10" t="str">
        <f aca="false">IF(D240="","",IF(D240="EarPods",1500,IF(D240="Button Phone",6000,IF(D240="Memory Card",1000,IF(D240="Charger",1200,IF(D240="Tripod Stand",4500,IF(D240="Selfie Stick",2500,IF(D240="Cables",800,IF(D240="Ringlight",8500,IF(D240="Speakers",5500,IF(D240="Wireless Mic",7000,IF(D240="Mouse",3200,IF(D240="Powerbanks",6000,IF(D240="Smartwatch",10000,""))))))))))))))</f>
        <v/>
      </c>
      <c r="H240" s="11" t="str">
        <f aca="false">IF(OR(F240="",G240=""),"",F240*G240)</f>
        <v/>
      </c>
      <c r="I240" s="18"/>
      <c r="J240" s="18"/>
    </row>
    <row r="241" customFormat="false" ht="18.75" hidden="false" customHeight="true" outlineLevel="0" collapsed="false">
      <c r="B241" s="5" t="n">
        <v>237</v>
      </c>
      <c r="C241" s="6"/>
      <c r="D241" s="7"/>
      <c r="E241" s="8"/>
      <c r="F241" s="9"/>
      <c r="G241" s="10" t="str">
        <f aca="false">IF(D241="","",IF(D241="EarPods",1500,IF(D241="Button Phone",6000,IF(D241="Memory Card",1000,IF(D241="Charger",1200,IF(D241="Tripod Stand",4500,IF(D241="Selfie Stick",2500,IF(D241="Cables",800,IF(D241="Ringlight",8500,IF(D241="Speakers",5500,IF(D241="Wireless Mic",7000,IF(D241="Mouse",3200,IF(D241="Powerbanks",6000,IF(D241="Smartwatch",10000,""))))))))))))))</f>
        <v/>
      </c>
      <c r="H241" s="11" t="str">
        <f aca="false">IF(OR(F241="",G241=""),"",F241*G241)</f>
        <v/>
      </c>
      <c r="I241" s="12"/>
      <c r="J241" s="12"/>
    </row>
    <row r="242" customFormat="false" ht="18.75" hidden="false" customHeight="true" outlineLevel="0" collapsed="false">
      <c r="B242" s="13" t="n">
        <v>238</v>
      </c>
      <c r="C242" s="14"/>
      <c r="D242" s="15"/>
      <c r="E242" s="16"/>
      <c r="F242" s="17"/>
      <c r="G242" s="10" t="str">
        <f aca="false">IF(D242="","",IF(D242="EarPods",1500,IF(D242="Button Phone",6000,IF(D242="Memory Card",1000,IF(D242="Charger",1200,IF(D242="Tripod Stand",4500,IF(D242="Selfie Stick",2500,IF(D242="Cables",800,IF(D242="Ringlight",8500,IF(D242="Speakers",5500,IF(D242="Wireless Mic",7000,IF(D242="Mouse",3200,IF(D242="Powerbanks",6000,IF(D242="Smartwatch",10000,""))))))))))))))</f>
        <v/>
      </c>
      <c r="H242" s="11" t="str">
        <f aca="false">IF(OR(F242="",G242=""),"",F242*G242)</f>
        <v/>
      </c>
      <c r="I242" s="18"/>
      <c r="J242" s="18"/>
    </row>
    <row r="243" customFormat="false" ht="18.75" hidden="false" customHeight="true" outlineLevel="0" collapsed="false">
      <c r="B243" s="5" t="n">
        <v>239</v>
      </c>
      <c r="C243" s="6"/>
      <c r="D243" s="7"/>
      <c r="E243" s="8"/>
      <c r="F243" s="9"/>
      <c r="G243" s="10" t="str">
        <f aca="false">IF(D243="","",IF(D243="EarPods",1500,IF(D243="Button Phone",6000,IF(D243="Memory Card",1000,IF(D243="Charger",1200,IF(D243="Tripod Stand",4500,IF(D243="Selfie Stick",2500,IF(D243="Cables",800,IF(D243="Ringlight",8500,IF(D243="Speakers",5500,IF(D243="Wireless Mic",7000,IF(D243="Mouse",3200,IF(D243="Powerbanks",6000,IF(D243="Smartwatch",10000,""))))))))))))))</f>
        <v/>
      </c>
      <c r="H243" s="11" t="str">
        <f aca="false">IF(OR(F243="",G243=""),"",F243*G243)</f>
        <v/>
      </c>
      <c r="I243" s="12"/>
      <c r="J243" s="12"/>
    </row>
    <row r="244" customFormat="false" ht="18.75" hidden="false" customHeight="true" outlineLevel="0" collapsed="false">
      <c r="B244" s="13" t="n">
        <v>240</v>
      </c>
      <c r="C244" s="14"/>
      <c r="D244" s="15"/>
      <c r="E244" s="16"/>
      <c r="F244" s="17"/>
      <c r="G244" s="10" t="str">
        <f aca="false">IF(D244="","",IF(D244="EarPods",1500,IF(D244="Button Phone",6000,IF(D244="Memory Card",1000,IF(D244="Charger",1200,IF(D244="Tripod Stand",4500,IF(D244="Selfie Stick",2500,IF(D244="Cables",800,IF(D244="Ringlight",8500,IF(D244="Speakers",5500,IF(D244="Wireless Mic",7000,IF(D244="Mouse",3200,IF(D244="Powerbanks",6000,IF(D244="Smartwatch",10000,""))))))))))))))</f>
        <v/>
      </c>
      <c r="H244" s="11" t="str">
        <f aca="false">IF(OR(F244="",G244=""),"",F244*G244)</f>
        <v/>
      </c>
      <c r="I244" s="18"/>
      <c r="J244" s="18"/>
    </row>
    <row r="245" customFormat="false" ht="18.75" hidden="false" customHeight="true" outlineLevel="0" collapsed="false">
      <c r="B245" s="5" t="n">
        <v>241</v>
      </c>
      <c r="C245" s="6"/>
      <c r="D245" s="7"/>
      <c r="E245" s="8"/>
      <c r="F245" s="9"/>
      <c r="G245" s="10" t="str">
        <f aca="false">IF(D245="","",IF(D245="EarPods",1500,IF(D245="Button Phone",6000,IF(D245="Memory Card",1000,IF(D245="Charger",1200,IF(D245="Tripod Stand",4500,IF(D245="Selfie Stick",2500,IF(D245="Cables",800,IF(D245="Ringlight",8500,IF(D245="Speakers",5500,IF(D245="Wireless Mic",7000,IF(D245="Mouse",3200,IF(D245="Powerbanks",6000,IF(D245="Smartwatch",10000,""))))))))))))))</f>
        <v/>
      </c>
      <c r="H245" s="11" t="str">
        <f aca="false">IF(OR(F245="",G245=""),"",F245*G245)</f>
        <v/>
      </c>
      <c r="I245" s="12"/>
      <c r="J245" s="12"/>
    </row>
    <row r="246" customFormat="false" ht="18.75" hidden="false" customHeight="true" outlineLevel="0" collapsed="false">
      <c r="B246" s="13" t="n">
        <v>242</v>
      </c>
      <c r="C246" s="14"/>
      <c r="D246" s="15"/>
      <c r="E246" s="16"/>
      <c r="F246" s="17"/>
      <c r="G246" s="10" t="str">
        <f aca="false">IF(D246="","",IF(D246="EarPods",1500,IF(D246="Button Phone",6000,IF(D246="Memory Card",1000,IF(D246="Charger",1200,IF(D246="Tripod Stand",4500,IF(D246="Selfie Stick",2500,IF(D246="Cables",800,IF(D246="Ringlight",8500,IF(D246="Speakers",5500,IF(D246="Wireless Mic",7000,IF(D246="Mouse",3200,IF(D246="Powerbanks",6000,IF(D246="Smartwatch",10000,""))))))))))))))</f>
        <v/>
      </c>
      <c r="H246" s="11" t="str">
        <f aca="false">IF(OR(F246="",G246=""),"",F246*G246)</f>
        <v/>
      </c>
      <c r="I246" s="18"/>
      <c r="J246" s="18"/>
    </row>
    <row r="247" customFormat="false" ht="18.75" hidden="false" customHeight="true" outlineLevel="0" collapsed="false">
      <c r="B247" s="5" t="n">
        <v>243</v>
      </c>
      <c r="C247" s="6"/>
      <c r="D247" s="7"/>
      <c r="E247" s="8"/>
      <c r="F247" s="9"/>
      <c r="G247" s="10" t="str">
        <f aca="false">IF(D247="","",IF(D247="EarPods",1500,IF(D247="Button Phone",6000,IF(D247="Memory Card",1000,IF(D247="Charger",1200,IF(D247="Tripod Stand",4500,IF(D247="Selfie Stick",2500,IF(D247="Cables",800,IF(D247="Ringlight",8500,IF(D247="Speakers",5500,IF(D247="Wireless Mic",7000,IF(D247="Mouse",3200,IF(D247="Powerbanks",6000,IF(D247="Smartwatch",10000,""))))))))))))))</f>
        <v/>
      </c>
      <c r="H247" s="11" t="str">
        <f aca="false">IF(OR(F247="",G247=""),"",F247*G247)</f>
        <v/>
      </c>
      <c r="I247" s="12"/>
      <c r="J247" s="12"/>
    </row>
    <row r="248" customFormat="false" ht="18.75" hidden="false" customHeight="true" outlineLevel="0" collapsed="false">
      <c r="B248" s="13" t="n">
        <v>244</v>
      </c>
      <c r="C248" s="14"/>
      <c r="D248" s="15"/>
      <c r="E248" s="16"/>
      <c r="F248" s="17"/>
      <c r="G248" s="10" t="str">
        <f aca="false">IF(D248="","",IF(D248="EarPods",1500,IF(D248="Button Phone",6000,IF(D248="Memory Card",1000,IF(D248="Charger",1200,IF(D248="Tripod Stand",4500,IF(D248="Selfie Stick",2500,IF(D248="Cables",800,IF(D248="Ringlight",8500,IF(D248="Speakers",5500,IF(D248="Wireless Mic",7000,IF(D248="Mouse",3200,IF(D248="Powerbanks",6000,IF(D248="Smartwatch",10000,""))))))))))))))</f>
        <v/>
      </c>
      <c r="H248" s="11" t="str">
        <f aca="false">IF(OR(F248="",G248=""),"",F248*G248)</f>
        <v/>
      </c>
      <c r="I248" s="18"/>
      <c r="J248" s="18"/>
    </row>
    <row r="249" customFormat="false" ht="18.75" hidden="false" customHeight="true" outlineLevel="0" collapsed="false">
      <c r="B249" s="5" t="n">
        <v>245</v>
      </c>
      <c r="C249" s="6"/>
      <c r="D249" s="7"/>
      <c r="E249" s="8"/>
      <c r="F249" s="9"/>
      <c r="G249" s="10" t="str">
        <f aca="false">IF(D249="","",IF(D249="EarPods",1500,IF(D249="Button Phone",6000,IF(D249="Memory Card",1000,IF(D249="Charger",1200,IF(D249="Tripod Stand",4500,IF(D249="Selfie Stick",2500,IF(D249="Cables",800,IF(D249="Ringlight",8500,IF(D249="Speakers",5500,IF(D249="Wireless Mic",7000,IF(D249="Mouse",3200,IF(D249="Powerbanks",6000,IF(D249="Smartwatch",10000,""))))))))))))))</f>
        <v/>
      </c>
      <c r="H249" s="11" t="str">
        <f aca="false">IF(OR(F249="",G249=""),"",F249*G249)</f>
        <v/>
      </c>
      <c r="I249" s="12"/>
      <c r="J249" s="12"/>
    </row>
    <row r="250" customFormat="false" ht="18.75" hidden="false" customHeight="true" outlineLevel="0" collapsed="false">
      <c r="B250" s="13" t="n">
        <v>246</v>
      </c>
      <c r="C250" s="14"/>
      <c r="D250" s="15"/>
      <c r="E250" s="16"/>
      <c r="F250" s="17"/>
      <c r="G250" s="10" t="str">
        <f aca="false">IF(D250="","",IF(D250="EarPods",1500,IF(D250="Button Phone",6000,IF(D250="Memory Card",1000,IF(D250="Charger",1200,IF(D250="Tripod Stand",4500,IF(D250="Selfie Stick",2500,IF(D250="Cables",800,IF(D250="Ringlight",8500,IF(D250="Speakers",5500,IF(D250="Wireless Mic",7000,IF(D250="Mouse",3200,IF(D250="Powerbanks",6000,IF(D250="Smartwatch",10000,""))))))))))))))</f>
        <v/>
      </c>
      <c r="H250" s="11" t="str">
        <f aca="false">IF(OR(F250="",G250=""),"",F250*G250)</f>
        <v/>
      </c>
      <c r="I250" s="18"/>
      <c r="J250" s="18"/>
    </row>
    <row r="251" customFormat="false" ht="18.75" hidden="false" customHeight="true" outlineLevel="0" collapsed="false">
      <c r="B251" s="5" t="n">
        <v>247</v>
      </c>
      <c r="C251" s="6"/>
      <c r="D251" s="7"/>
      <c r="E251" s="8"/>
      <c r="F251" s="9"/>
      <c r="G251" s="10" t="str">
        <f aca="false">IF(D251="","",IF(D251="EarPods",1500,IF(D251="Button Phone",6000,IF(D251="Memory Card",1000,IF(D251="Charger",1200,IF(D251="Tripod Stand",4500,IF(D251="Selfie Stick",2500,IF(D251="Cables",800,IF(D251="Ringlight",8500,IF(D251="Speakers",5500,IF(D251="Wireless Mic",7000,IF(D251="Mouse",3200,IF(D251="Powerbanks",6000,IF(D251="Smartwatch",10000,""))))))))))))))</f>
        <v/>
      </c>
      <c r="H251" s="11" t="str">
        <f aca="false">IF(OR(F251="",G251=""),"",F251*G251)</f>
        <v/>
      </c>
      <c r="I251" s="12"/>
      <c r="J251" s="12"/>
    </row>
    <row r="252" customFormat="false" ht="18.75" hidden="false" customHeight="true" outlineLevel="0" collapsed="false">
      <c r="B252" s="13" t="n">
        <v>248</v>
      </c>
      <c r="C252" s="14"/>
      <c r="D252" s="15"/>
      <c r="E252" s="16"/>
      <c r="F252" s="17"/>
      <c r="G252" s="10" t="str">
        <f aca="false">IF(D252="","",IF(D252="EarPods",1500,IF(D252="Button Phone",6000,IF(D252="Memory Card",1000,IF(D252="Charger",1200,IF(D252="Tripod Stand",4500,IF(D252="Selfie Stick",2500,IF(D252="Cables",800,IF(D252="Ringlight",8500,IF(D252="Speakers",5500,IF(D252="Wireless Mic",7000,IF(D252="Mouse",3200,IF(D252="Powerbanks",6000,IF(D252="Smartwatch",10000,""))))))))))))))</f>
        <v/>
      </c>
      <c r="H252" s="11" t="str">
        <f aca="false">IF(OR(F252="",G252=""),"",F252*G252)</f>
        <v/>
      </c>
      <c r="I252" s="18"/>
      <c r="J252" s="18"/>
    </row>
    <row r="253" customFormat="false" ht="18.75" hidden="false" customHeight="true" outlineLevel="0" collapsed="false">
      <c r="B253" s="5" t="n">
        <v>249</v>
      </c>
      <c r="C253" s="6"/>
      <c r="D253" s="7"/>
      <c r="E253" s="8"/>
      <c r="F253" s="9"/>
      <c r="G253" s="10" t="str">
        <f aca="false">IF(D253="","",IF(D253="EarPods",1500,IF(D253="Button Phone",6000,IF(D253="Memory Card",1000,IF(D253="Charger",1200,IF(D253="Tripod Stand",4500,IF(D253="Selfie Stick",2500,IF(D253="Cables",800,IF(D253="Ringlight",8500,IF(D253="Speakers",5500,IF(D253="Wireless Mic",7000,IF(D253="Mouse",3200,IF(D253="Powerbanks",6000,IF(D253="Smartwatch",10000,""))))))))))))))</f>
        <v/>
      </c>
      <c r="H253" s="11" t="str">
        <f aca="false">IF(OR(F253="",G253=""),"",F253*G253)</f>
        <v/>
      </c>
      <c r="I253" s="12"/>
      <c r="J253" s="12"/>
    </row>
    <row r="254" customFormat="false" ht="18.75" hidden="false" customHeight="true" outlineLevel="0" collapsed="false">
      <c r="B254" s="13" t="n">
        <v>250</v>
      </c>
      <c r="C254" s="14"/>
      <c r="D254" s="15"/>
      <c r="E254" s="16"/>
      <c r="F254" s="17"/>
      <c r="G254" s="10" t="str">
        <f aca="false">IF(D254="","",IF(D254="EarPods",1500,IF(D254="Button Phone",6000,IF(D254="Memory Card",1000,IF(D254="Charger",1200,IF(D254="Tripod Stand",4500,IF(D254="Selfie Stick",2500,IF(D254="Cables",800,IF(D254="Ringlight",8500,IF(D254="Speakers",5500,IF(D254="Wireless Mic",7000,IF(D254="Mouse",3200,IF(D254="Powerbanks",6000,IF(D254="Smartwatch",10000,""))))))))))))))</f>
        <v/>
      </c>
      <c r="H254" s="11" t="str">
        <f aca="false">IF(OR(F254="",G254=""),"",F254*G254)</f>
        <v/>
      </c>
      <c r="I254" s="18"/>
      <c r="J254" s="18"/>
    </row>
    <row r="255" customFormat="false" ht="18.75" hidden="false" customHeight="true" outlineLevel="0" collapsed="false">
      <c r="B255" s="5" t="n">
        <v>251</v>
      </c>
      <c r="C255" s="6"/>
      <c r="D255" s="7"/>
      <c r="E255" s="8"/>
      <c r="F255" s="9"/>
      <c r="G255" s="10" t="str">
        <f aca="false">IF(D255="","",IF(D255="EarPods",1500,IF(D255="Button Phone",6000,IF(D255="Memory Card",1000,IF(D255="Charger",1200,IF(D255="Tripod Stand",4500,IF(D255="Selfie Stick",2500,IF(D255="Cables",800,IF(D255="Ringlight",8500,IF(D255="Speakers",5500,IF(D255="Wireless Mic",7000,IF(D255="Mouse",3200,IF(D255="Powerbanks",6000,IF(D255="Smartwatch",10000,""))))))))))))))</f>
        <v/>
      </c>
      <c r="H255" s="11" t="str">
        <f aca="false">IF(OR(F255="",G255=""),"",F255*G255)</f>
        <v/>
      </c>
      <c r="I255" s="12"/>
      <c r="J255" s="12"/>
    </row>
    <row r="256" customFormat="false" ht="18.75" hidden="false" customHeight="true" outlineLevel="0" collapsed="false">
      <c r="B256" s="13" t="n">
        <v>252</v>
      </c>
      <c r="C256" s="14"/>
      <c r="D256" s="15"/>
      <c r="E256" s="16"/>
      <c r="F256" s="17"/>
      <c r="G256" s="10" t="str">
        <f aca="false">IF(D256="","",IF(D256="EarPods",1500,IF(D256="Button Phone",6000,IF(D256="Memory Card",1000,IF(D256="Charger",1200,IF(D256="Tripod Stand",4500,IF(D256="Selfie Stick",2500,IF(D256="Cables",800,IF(D256="Ringlight",8500,IF(D256="Speakers",5500,IF(D256="Wireless Mic",7000,IF(D256="Mouse",3200,IF(D256="Powerbanks",6000,IF(D256="Smartwatch",10000,""))))))))))))))</f>
        <v/>
      </c>
      <c r="H256" s="11" t="str">
        <f aca="false">IF(OR(F256="",G256=""),"",F256*G256)</f>
        <v/>
      </c>
      <c r="I256" s="18"/>
      <c r="J256" s="18"/>
    </row>
    <row r="257" customFormat="false" ht="18.75" hidden="false" customHeight="true" outlineLevel="0" collapsed="false">
      <c r="B257" s="5" t="n">
        <v>253</v>
      </c>
      <c r="C257" s="6"/>
      <c r="D257" s="7"/>
      <c r="E257" s="8"/>
      <c r="F257" s="9"/>
      <c r="G257" s="10" t="str">
        <f aca="false">IF(D257="","",IF(D257="EarPods",1500,IF(D257="Button Phone",6000,IF(D257="Memory Card",1000,IF(D257="Charger",1200,IF(D257="Tripod Stand",4500,IF(D257="Selfie Stick",2500,IF(D257="Cables",800,IF(D257="Ringlight",8500,IF(D257="Speakers",5500,IF(D257="Wireless Mic",7000,IF(D257="Mouse",3200,IF(D257="Powerbanks",6000,IF(D257="Smartwatch",10000,""))))))))))))))</f>
        <v/>
      </c>
      <c r="H257" s="11" t="str">
        <f aca="false">IF(OR(F257="",G257=""),"",F257*G257)</f>
        <v/>
      </c>
      <c r="I257" s="12"/>
      <c r="J257" s="12"/>
    </row>
    <row r="258" customFormat="false" ht="18.75" hidden="false" customHeight="true" outlineLevel="0" collapsed="false">
      <c r="B258" s="13" t="n">
        <v>254</v>
      </c>
      <c r="C258" s="14"/>
      <c r="D258" s="15"/>
      <c r="E258" s="16"/>
      <c r="F258" s="17"/>
      <c r="G258" s="10" t="str">
        <f aca="false">IF(D258="","",IF(D258="EarPods",1500,IF(D258="Button Phone",6000,IF(D258="Memory Card",1000,IF(D258="Charger",1200,IF(D258="Tripod Stand",4500,IF(D258="Selfie Stick",2500,IF(D258="Cables",800,IF(D258="Ringlight",8500,IF(D258="Speakers",5500,IF(D258="Wireless Mic",7000,IF(D258="Mouse",3200,IF(D258="Powerbanks",6000,IF(D258="Smartwatch",10000,""))))))))))))))</f>
        <v/>
      </c>
      <c r="H258" s="11" t="str">
        <f aca="false">IF(OR(F258="",G258=""),"",F258*G258)</f>
        <v/>
      </c>
      <c r="I258" s="18"/>
      <c r="J258" s="18"/>
    </row>
    <row r="259" customFormat="false" ht="18.75" hidden="false" customHeight="true" outlineLevel="0" collapsed="false">
      <c r="B259" s="5" t="n">
        <v>255</v>
      </c>
      <c r="C259" s="6"/>
      <c r="D259" s="7"/>
      <c r="E259" s="8"/>
      <c r="F259" s="9"/>
      <c r="G259" s="10" t="str">
        <f aca="false">IF(D259="","",IF(D259="EarPods",1500,IF(D259="Button Phone",6000,IF(D259="Memory Card",1000,IF(D259="Charger",1200,IF(D259="Tripod Stand",4500,IF(D259="Selfie Stick",2500,IF(D259="Cables",800,IF(D259="Ringlight",8500,IF(D259="Speakers",5500,IF(D259="Wireless Mic",7000,IF(D259="Mouse",3200,IF(D259="Powerbanks",6000,IF(D259="Smartwatch",10000,""))))))))))))))</f>
        <v/>
      </c>
      <c r="H259" s="11" t="str">
        <f aca="false">IF(OR(F259="",G259=""),"",F259*G259)</f>
        <v/>
      </c>
      <c r="I259" s="12"/>
      <c r="J259" s="12"/>
    </row>
    <row r="260" customFormat="false" ht="18.75" hidden="false" customHeight="true" outlineLevel="0" collapsed="false">
      <c r="B260" s="13" t="n">
        <v>256</v>
      </c>
      <c r="C260" s="14"/>
      <c r="D260" s="15"/>
      <c r="E260" s="16"/>
      <c r="F260" s="17"/>
      <c r="G260" s="10" t="str">
        <f aca="false">IF(D260="","",IF(D260="EarPods",1500,IF(D260="Button Phone",6000,IF(D260="Memory Card",1000,IF(D260="Charger",1200,IF(D260="Tripod Stand",4500,IF(D260="Selfie Stick",2500,IF(D260="Cables",800,IF(D260="Ringlight",8500,IF(D260="Speakers",5500,IF(D260="Wireless Mic",7000,IF(D260="Mouse",3200,IF(D260="Powerbanks",6000,IF(D260="Smartwatch",10000,""))))))))))))))</f>
        <v/>
      </c>
      <c r="H260" s="11" t="str">
        <f aca="false">IF(OR(F260="",G260=""),"",F260*G260)</f>
        <v/>
      </c>
      <c r="I260" s="18"/>
      <c r="J260" s="18"/>
    </row>
    <row r="261" customFormat="false" ht="18.75" hidden="false" customHeight="true" outlineLevel="0" collapsed="false">
      <c r="B261" s="5" t="n">
        <v>257</v>
      </c>
      <c r="C261" s="6"/>
      <c r="D261" s="7"/>
      <c r="E261" s="8"/>
      <c r="F261" s="9"/>
      <c r="G261" s="10" t="str">
        <f aca="false">IF(D261="","",IF(D261="EarPods",1500,IF(D261="Button Phone",6000,IF(D261="Memory Card",1000,IF(D261="Charger",1200,IF(D261="Tripod Stand",4500,IF(D261="Selfie Stick",2500,IF(D261="Cables",800,IF(D261="Ringlight",8500,IF(D261="Speakers",5500,IF(D261="Wireless Mic",7000,IF(D261="Mouse",3200,IF(D261="Powerbanks",6000,IF(D261="Smartwatch",10000,""))))))))))))))</f>
        <v/>
      </c>
      <c r="H261" s="11" t="str">
        <f aca="false">IF(OR(F261="",G261=""),"",F261*G261)</f>
        <v/>
      </c>
      <c r="I261" s="12"/>
      <c r="J261" s="12"/>
    </row>
    <row r="262" customFormat="false" ht="18.75" hidden="false" customHeight="true" outlineLevel="0" collapsed="false">
      <c r="B262" s="13" t="n">
        <v>258</v>
      </c>
      <c r="C262" s="14"/>
      <c r="D262" s="15"/>
      <c r="E262" s="16"/>
      <c r="F262" s="17"/>
      <c r="G262" s="10" t="str">
        <f aca="false">IF(D262="","",IF(D262="EarPods",1500,IF(D262="Button Phone",6000,IF(D262="Memory Card",1000,IF(D262="Charger",1200,IF(D262="Tripod Stand",4500,IF(D262="Selfie Stick",2500,IF(D262="Cables",800,IF(D262="Ringlight",8500,IF(D262="Speakers",5500,IF(D262="Wireless Mic",7000,IF(D262="Mouse",3200,IF(D262="Powerbanks",6000,IF(D262="Smartwatch",10000,""))))))))))))))</f>
        <v/>
      </c>
      <c r="H262" s="11" t="str">
        <f aca="false">IF(OR(F262="",G262=""),"",F262*G262)</f>
        <v/>
      </c>
      <c r="I262" s="18"/>
      <c r="J262" s="18"/>
    </row>
    <row r="263" customFormat="false" ht="18.75" hidden="false" customHeight="true" outlineLevel="0" collapsed="false">
      <c r="B263" s="5" t="n">
        <v>259</v>
      </c>
      <c r="C263" s="6"/>
      <c r="D263" s="7"/>
      <c r="E263" s="8"/>
      <c r="F263" s="9"/>
      <c r="G263" s="10" t="str">
        <f aca="false">IF(D263="","",IF(D263="EarPods",1500,IF(D263="Button Phone",6000,IF(D263="Memory Card",1000,IF(D263="Charger",1200,IF(D263="Tripod Stand",4500,IF(D263="Selfie Stick",2500,IF(D263="Cables",800,IF(D263="Ringlight",8500,IF(D263="Speakers",5500,IF(D263="Wireless Mic",7000,IF(D263="Mouse",3200,IF(D263="Powerbanks",6000,IF(D263="Smartwatch",10000,""))))))))))))))</f>
        <v/>
      </c>
      <c r="H263" s="11" t="str">
        <f aca="false">IF(OR(F263="",G263=""),"",F263*G263)</f>
        <v/>
      </c>
      <c r="I263" s="12"/>
      <c r="J263" s="12"/>
    </row>
    <row r="264" customFormat="false" ht="18.75" hidden="false" customHeight="true" outlineLevel="0" collapsed="false">
      <c r="B264" s="13" t="n">
        <v>260</v>
      </c>
      <c r="C264" s="14"/>
      <c r="D264" s="15"/>
      <c r="E264" s="16"/>
      <c r="F264" s="17"/>
      <c r="G264" s="10" t="str">
        <f aca="false">IF(D264="","",IF(D264="EarPods",1500,IF(D264="Button Phone",6000,IF(D264="Memory Card",1000,IF(D264="Charger",1200,IF(D264="Tripod Stand",4500,IF(D264="Selfie Stick",2500,IF(D264="Cables",800,IF(D264="Ringlight",8500,IF(D264="Speakers",5500,IF(D264="Wireless Mic",7000,IF(D264="Mouse",3200,IF(D264="Powerbanks",6000,IF(D264="Smartwatch",10000,""))))))))))))))</f>
        <v/>
      </c>
      <c r="H264" s="11" t="str">
        <f aca="false">IF(OR(F264="",G264=""),"",F264*G264)</f>
        <v/>
      </c>
      <c r="I264" s="18"/>
      <c r="J264" s="18"/>
    </row>
    <row r="265" customFormat="false" ht="18.75" hidden="false" customHeight="true" outlineLevel="0" collapsed="false">
      <c r="B265" s="5" t="n">
        <v>261</v>
      </c>
      <c r="C265" s="6"/>
      <c r="D265" s="7"/>
      <c r="E265" s="8"/>
      <c r="F265" s="9"/>
      <c r="G265" s="10" t="str">
        <f aca="false">IF(D265="","",IF(D265="EarPods",1500,IF(D265="Button Phone",6000,IF(D265="Memory Card",1000,IF(D265="Charger",1200,IF(D265="Tripod Stand",4500,IF(D265="Selfie Stick",2500,IF(D265="Cables",800,IF(D265="Ringlight",8500,IF(D265="Speakers",5500,IF(D265="Wireless Mic",7000,IF(D265="Mouse",3200,IF(D265="Powerbanks",6000,IF(D265="Smartwatch",10000,""))))))))))))))</f>
        <v/>
      </c>
      <c r="H265" s="11" t="str">
        <f aca="false">IF(OR(F265="",G265=""),"",F265*G265)</f>
        <v/>
      </c>
      <c r="I265" s="12"/>
      <c r="J265" s="12"/>
    </row>
    <row r="266" customFormat="false" ht="18.75" hidden="false" customHeight="true" outlineLevel="0" collapsed="false">
      <c r="B266" s="13" t="n">
        <v>262</v>
      </c>
      <c r="C266" s="14"/>
      <c r="D266" s="15"/>
      <c r="E266" s="16"/>
      <c r="F266" s="17"/>
      <c r="G266" s="10" t="str">
        <f aca="false">IF(D266="","",IF(D266="EarPods",1500,IF(D266="Button Phone",6000,IF(D266="Memory Card",1000,IF(D266="Charger",1200,IF(D266="Tripod Stand",4500,IF(D266="Selfie Stick",2500,IF(D266="Cables",800,IF(D266="Ringlight",8500,IF(D266="Speakers",5500,IF(D266="Wireless Mic",7000,IF(D266="Mouse",3200,IF(D266="Powerbanks",6000,IF(D266="Smartwatch",10000,""))))))))))))))</f>
        <v/>
      </c>
      <c r="H266" s="11" t="str">
        <f aca="false">IF(OR(F266="",G266=""),"",F266*G266)</f>
        <v/>
      </c>
      <c r="I266" s="18"/>
      <c r="J266" s="18"/>
    </row>
    <row r="267" customFormat="false" ht="18.75" hidden="false" customHeight="true" outlineLevel="0" collapsed="false">
      <c r="B267" s="5" t="n">
        <v>263</v>
      </c>
      <c r="C267" s="6"/>
      <c r="D267" s="7"/>
      <c r="E267" s="8"/>
      <c r="F267" s="9"/>
      <c r="G267" s="10" t="str">
        <f aca="false">IF(D267="","",IF(D267="EarPods",1500,IF(D267="Button Phone",6000,IF(D267="Memory Card",1000,IF(D267="Charger",1200,IF(D267="Tripod Stand",4500,IF(D267="Selfie Stick",2500,IF(D267="Cables",800,IF(D267="Ringlight",8500,IF(D267="Speakers",5500,IF(D267="Wireless Mic",7000,IF(D267="Mouse",3200,IF(D267="Powerbanks",6000,IF(D267="Smartwatch",10000,""))))))))))))))</f>
        <v/>
      </c>
      <c r="H267" s="11" t="str">
        <f aca="false">IF(OR(F267="",G267=""),"",F267*G267)</f>
        <v/>
      </c>
      <c r="I267" s="12"/>
      <c r="J267" s="12"/>
    </row>
    <row r="268" customFormat="false" ht="18.75" hidden="false" customHeight="true" outlineLevel="0" collapsed="false">
      <c r="B268" s="13" t="n">
        <v>264</v>
      </c>
      <c r="C268" s="14"/>
      <c r="D268" s="15"/>
      <c r="E268" s="16"/>
      <c r="F268" s="17"/>
      <c r="G268" s="10" t="str">
        <f aca="false">IF(D268="","",IF(D268="EarPods",1500,IF(D268="Button Phone",6000,IF(D268="Memory Card",1000,IF(D268="Charger",1200,IF(D268="Tripod Stand",4500,IF(D268="Selfie Stick",2500,IF(D268="Cables",800,IF(D268="Ringlight",8500,IF(D268="Speakers",5500,IF(D268="Wireless Mic",7000,IF(D268="Mouse",3200,IF(D268="Powerbanks",6000,IF(D268="Smartwatch",10000,""))))))))))))))</f>
        <v/>
      </c>
      <c r="H268" s="11" t="str">
        <f aca="false">IF(OR(F268="",G268=""),"",F268*G268)</f>
        <v/>
      </c>
      <c r="I268" s="18"/>
      <c r="J268" s="18"/>
    </row>
    <row r="269" customFormat="false" ht="18.75" hidden="false" customHeight="true" outlineLevel="0" collapsed="false">
      <c r="B269" s="5" t="n">
        <v>265</v>
      </c>
      <c r="C269" s="6"/>
      <c r="D269" s="7"/>
      <c r="E269" s="8"/>
      <c r="F269" s="9"/>
      <c r="G269" s="10" t="str">
        <f aca="false">IF(D269="","",IF(D269="EarPods",1500,IF(D269="Button Phone",6000,IF(D269="Memory Card",1000,IF(D269="Charger",1200,IF(D269="Tripod Stand",4500,IF(D269="Selfie Stick",2500,IF(D269="Cables",800,IF(D269="Ringlight",8500,IF(D269="Speakers",5500,IF(D269="Wireless Mic",7000,IF(D269="Mouse",3200,IF(D269="Powerbanks",6000,IF(D269="Smartwatch",10000,""))))))))))))))</f>
        <v/>
      </c>
      <c r="H269" s="11" t="str">
        <f aca="false">IF(OR(F269="",G269=""),"",F269*G269)</f>
        <v/>
      </c>
      <c r="I269" s="12"/>
      <c r="J269" s="12"/>
    </row>
    <row r="270" customFormat="false" ht="18.75" hidden="false" customHeight="true" outlineLevel="0" collapsed="false">
      <c r="B270" s="13" t="n">
        <v>266</v>
      </c>
      <c r="C270" s="14"/>
      <c r="D270" s="15"/>
      <c r="E270" s="16"/>
      <c r="F270" s="17"/>
      <c r="G270" s="10" t="str">
        <f aca="false">IF(D270="","",IF(D270="EarPods",1500,IF(D270="Button Phone",6000,IF(D270="Memory Card",1000,IF(D270="Charger",1200,IF(D270="Tripod Stand",4500,IF(D270="Selfie Stick",2500,IF(D270="Cables",800,IF(D270="Ringlight",8500,IF(D270="Speakers",5500,IF(D270="Wireless Mic",7000,IF(D270="Mouse",3200,IF(D270="Powerbanks",6000,IF(D270="Smartwatch",10000,""))))))))))))))</f>
        <v/>
      </c>
      <c r="H270" s="11" t="str">
        <f aca="false">IF(OR(F270="",G270=""),"",F270*G270)</f>
        <v/>
      </c>
      <c r="I270" s="18"/>
      <c r="J270" s="18"/>
    </row>
    <row r="271" customFormat="false" ht="18.75" hidden="false" customHeight="true" outlineLevel="0" collapsed="false">
      <c r="B271" s="5" t="n">
        <v>267</v>
      </c>
      <c r="C271" s="6"/>
      <c r="D271" s="7"/>
      <c r="E271" s="8"/>
      <c r="F271" s="9"/>
      <c r="G271" s="10" t="str">
        <f aca="false">IF(D271="","",IF(D271="EarPods",1500,IF(D271="Button Phone",6000,IF(D271="Memory Card",1000,IF(D271="Charger",1200,IF(D271="Tripod Stand",4500,IF(D271="Selfie Stick",2500,IF(D271="Cables",800,IF(D271="Ringlight",8500,IF(D271="Speakers",5500,IF(D271="Wireless Mic",7000,IF(D271="Mouse",3200,IF(D271="Powerbanks",6000,IF(D271="Smartwatch",10000,""))))))))))))))</f>
        <v/>
      </c>
      <c r="H271" s="11" t="str">
        <f aca="false">IF(OR(F271="",G271=""),"",F271*G271)</f>
        <v/>
      </c>
      <c r="I271" s="12"/>
      <c r="J271" s="12"/>
    </row>
    <row r="272" customFormat="false" ht="18.75" hidden="false" customHeight="true" outlineLevel="0" collapsed="false">
      <c r="B272" s="13" t="n">
        <v>268</v>
      </c>
      <c r="C272" s="14"/>
      <c r="D272" s="15"/>
      <c r="E272" s="16"/>
      <c r="F272" s="17"/>
      <c r="G272" s="10" t="str">
        <f aca="false">IF(D272="","",IF(D272="EarPods",1500,IF(D272="Button Phone",6000,IF(D272="Memory Card",1000,IF(D272="Charger",1200,IF(D272="Tripod Stand",4500,IF(D272="Selfie Stick",2500,IF(D272="Cables",800,IF(D272="Ringlight",8500,IF(D272="Speakers",5500,IF(D272="Wireless Mic",7000,IF(D272="Mouse",3200,IF(D272="Powerbanks",6000,IF(D272="Smartwatch",10000,""))))))))))))))</f>
        <v/>
      </c>
      <c r="H272" s="11" t="str">
        <f aca="false">IF(OR(F272="",G272=""),"",F272*G272)</f>
        <v/>
      </c>
      <c r="I272" s="18"/>
      <c r="J272" s="18"/>
    </row>
    <row r="273" customFormat="false" ht="18.75" hidden="false" customHeight="true" outlineLevel="0" collapsed="false">
      <c r="B273" s="5" t="n">
        <v>269</v>
      </c>
      <c r="C273" s="6"/>
      <c r="D273" s="7"/>
      <c r="E273" s="8"/>
      <c r="F273" s="9"/>
      <c r="G273" s="10" t="str">
        <f aca="false">IF(D273="","",IF(D273="EarPods",1500,IF(D273="Button Phone",6000,IF(D273="Memory Card",1000,IF(D273="Charger",1200,IF(D273="Tripod Stand",4500,IF(D273="Selfie Stick",2500,IF(D273="Cables",800,IF(D273="Ringlight",8500,IF(D273="Speakers",5500,IF(D273="Wireless Mic",7000,IF(D273="Mouse",3200,IF(D273="Powerbanks",6000,IF(D273="Smartwatch",10000,""))))))))))))))</f>
        <v/>
      </c>
      <c r="H273" s="11" t="str">
        <f aca="false">IF(OR(F273="",G273=""),"",F273*G273)</f>
        <v/>
      </c>
      <c r="I273" s="12"/>
      <c r="J273" s="12"/>
    </row>
    <row r="274" customFormat="false" ht="18.75" hidden="false" customHeight="true" outlineLevel="0" collapsed="false">
      <c r="B274" s="13" t="n">
        <v>270</v>
      </c>
      <c r="C274" s="14"/>
      <c r="D274" s="15"/>
      <c r="E274" s="16"/>
      <c r="F274" s="17"/>
      <c r="G274" s="10" t="str">
        <f aca="false">IF(D274="","",IF(D274="EarPods",1500,IF(D274="Button Phone",6000,IF(D274="Memory Card",1000,IF(D274="Charger",1200,IF(D274="Tripod Stand",4500,IF(D274="Selfie Stick",2500,IF(D274="Cables",800,IF(D274="Ringlight",8500,IF(D274="Speakers",5500,IF(D274="Wireless Mic",7000,IF(D274="Mouse",3200,IF(D274="Powerbanks",6000,IF(D274="Smartwatch",10000,""))))))))))))))</f>
        <v/>
      </c>
      <c r="H274" s="11" t="str">
        <f aca="false">IF(OR(F274="",G274=""),"",F274*G274)</f>
        <v/>
      </c>
      <c r="I274" s="18"/>
      <c r="J274" s="18"/>
    </row>
    <row r="275" customFormat="false" ht="18.75" hidden="false" customHeight="true" outlineLevel="0" collapsed="false">
      <c r="B275" s="5" t="n">
        <v>271</v>
      </c>
      <c r="C275" s="6"/>
      <c r="D275" s="7"/>
      <c r="E275" s="8"/>
      <c r="F275" s="9"/>
      <c r="G275" s="10" t="str">
        <f aca="false">IF(D275="","",IF(D275="EarPods",1500,IF(D275="Button Phone",6000,IF(D275="Memory Card",1000,IF(D275="Charger",1200,IF(D275="Tripod Stand",4500,IF(D275="Selfie Stick",2500,IF(D275="Cables",800,IF(D275="Ringlight",8500,IF(D275="Speakers",5500,IF(D275="Wireless Mic",7000,IF(D275="Mouse",3200,IF(D275="Powerbanks",6000,IF(D275="Smartwatch",10000,""))))))))))))))</f>
        <v/>
      </c>
      <c r="H275" s="11" t="str">
        <f aca="false">IF(OR(F275="",G275=""),"",F275*G275)</f>
        <v/>
      </c>
      <c r="I275" s="12"/>
      <c r="J275" s="12"/>
    </row>
    <row r="276" customFormat="false" ht="18.75" hidden="false" customHeight="true" outlineLevel="0" collapsed="false">
      <c r="B276" s="13" t="n">
        <v>272</v>
      </c>
      <c r="C276" s="14"/>
      <c r="D276" s="15"/>
      <c r="E276" s="16"/>
      <c r="F276" s="17"/>
      <c r="G276" s="10" t="str">
        <f aca="false">IF(D276="","",IF(D276="EarPods",1500,IF(D276="Button Phone",6000,IF(D276="Memory Card",1000,IF(D276="Charger",1200,IF(D276="Tripod Stand",4500,IF(D276="Selfie Stick",2500,IF(D276="Cables",800,IF(D276="Ringlight",8500,IF(D276="Speakers",5500,IF(D276="Wireless Mic",7000,IF(D276="Mouse",3200,IF(D276="Powerbanks",6000,IF(D276="Smartwatch",10000,""))))))))))))))</f>
        <v/>
      </c>
      <c r="H276" s="11" t="str">
        <f aca="false">IF(OR(F276="",G276=""),"",F276*G276)</f>
        <v/>
      </c>
      <c r="I276" s="18"/>
      <c r="J276" s="18"/>
    </row>
    <row r="277" customFormat="false" ht="18.75" hidden="false" customHeight="true" outlineLevel="0" collapsed="false">
      <c r="B277" s="5" t="n">
        <v>273</v>
      </c>
      <c r="C277" s="6"/>
      <c r="D277" s="7"/>
      <c r="E277" s="8"/>
      <c r="F277" s="9"/>
      <c r="G277" s="10" t="str">
        <f aca="false">IF(D277="","",IF(D277="EarPods",1500,IF(D277="Button Phone",6000,IF(D277="Memory Card",1000,IF(D277="Charger",1200,IF(D277="Tripod Stand",4500,IF(D277="Selfie Stick",2500,IF(D277="Cables",800,IF(D277="Ringlight",8500,IF(D277="Speakers",5500,IF(D277="Wireless Mic",7000,IF(D277="Mouse",3200,IF(D277="Powerbanks",6000,IF(D277="Smartwatch",10000,""))))))))))))))</f>
        <v/>
      </c>
      <c r="H277" s="11" t="str">
        <f aca="false">IF(OR(F277="",G277=""),"",F277*G277)</f>
        <v/>
      </c>
      <c r="I277" s="12"/>
      <c r="J277" s="12"/>
    </row>
    <row r="278" customFormat="false" ht="18.75" hidden="false" customHeight="true" outlineLevel="0" collapsed="false">
      <c r="B278" s="13" t="n">
        <v>274</v>
      </c>
      <c r="C278" s="14"/>
      <c r="D278" s="15"/>
      <c r="E278" s="16"/>
      <c r="F278" s="17"/>
      <c r="G278" s="10" t="str">
        <f aca="false">IF(D278="","",IF(D278="EarPods",1500,IF(D278="Button Phone",6000,IF(D278="Memory Card",1000,IF(D278="Charger",1200,IF(D278="Tripod Stand",4500,IF(D278="Selfie Stick",2500,IF(D278="Cables",800,IF(D278="Ringlight",8500,IF(D278="Speakers",5500,IF(D278="Wireless Mic",7000,IF(D278="Mouse",3200,IF(D278="Powerbanks",6000,IF(D278="Smartwatch",10000,""))))))))))))))</f>
        <v/>
      </c>
      <c r="H278" s="11" t="str">
        <f aca="false">IF(OR(F278="",G278=""),"",F278*G278)</f>
        <v/>
      </c>
      <c r="I278" s="18"/>
      <c r="J278" s="18"/>
    </row>
    <row r="279" customFormat="false" ht="18.75" hidden="false" customHeight="true" outlineLevel="0" collapsed="false">
      <c r="B279" s="5" t="n">
        <v>275</v>
      </c>
      <c r="C279" s="6"/>
      <c r="D279" s="7"/>
      <c r="E279" s="8"/>
      <c r="F279" s="9"/>
      <c r="G279" s="10" t="str">
        <f aca="false">IF(D279="","",IF(D279="EarPods",1500,IF(D279="Button Phone",6000,IF(D279="Memory Card",1000,IF(D279="Charger",1200,IF(D279="Tripod Stand",4500,IF(D279="Selfie Stick",2500,IF(D279="Cables",800,IF(D279="Ringlight",8500,IF(D279="Speakers",5500,IF(D279="Wireless Mic",7000,IF(D279="Mouse",3200,IF(D279="Powerbanks",6000,IF(D279="Smartwatch",10000,""))))))))))))))</f>
        <v/>
      </c>
      <c r="H279" s="11" t="str">
        <f aca="false">IF(OR(F279="",G279=""),"",F279*G279)</f>
        <v/>
      </c>
      <c r="I279" s="12"/>
      <c r="J279" s="12"/>
    </row>
    <row r="280" customFormat="false" ht="18.75" hidden="false" customHeight="true" outlineLevel="0" collapsed="false">
      <c r="B280" s="13" t="n">
        <v>276</v>
      </c>
      <c r="C280" s="14"/>
      <c r="D280" s="15"/>
      <c r="E280" s="16"/>
      <c r="F280" s="17"/>
      <c r="G280" s="10" t="str">
        <f aca="false">IF(D280="","",IF(D280="EarPods",1500,IF(D280="Button Phone",6000,IF(D280="Memory Card",1000,IF(D280="Charger",1200,IF(D280="Tripod Stand",4500,IF(D280="Selfie Stick",2500,IF(D280="Cables",800,IF(D280="Ringlight",8500,IF(D280="Speakers",5500,IF(D280="Wireless Mic",7000,IF(D280="Mouse",3200,IF(D280="Powerbanks",6000,IF(D280="Smartwatch",10000,""))))))))))))))</f>
        <v/>
      </c>
      <c r="H280" s="11" t="str">
        <f aca="false">IF(OR(F280="",G280=""),"",F280*G280)</f>
        <v/>
      </c>
      <c r="I280" s="18"/>
      <c r="J280" s="18"/>
    </row>
    <row r="281" customFormat="false" ht="18.75" hidden="false" customHeight="true" outlineLevel="0" collapsed="false">
      <c r="B281" s="5" t="n">
        <v>277</v>
      </c>
      <c r="C281" s="6"/>
      <c r="D281" s="7"/>
      <c r="E281" s="8"/>
      <c r="F281" s="9"/>
      <c r="G281" s="10" t="str">
        <f aca="false">IF(D281="","",IF(D281="EarPods",1500,IF(D281="Button Phone",6000,IF(D281="Memory Card",1000,IF(D281="Charger",1200,IF(D281="Tripod Stand",4500,IF(D281="Selfie Stick",2500,IF(D281="Cables",800,IF(D281="Ringlight",8500,IF(D281="Speakers",5500,IF(D281="Wireless Mic",7000,IF(D281="Mouse",3200,IF(D281="Powerbanks",6000,IF(D281="Smartwatch",10000,""))))))))))))))</f>
        <v/>
      </c>
      <c r="H281" s="11" t="str">
        <f aca="false">IF(OR(F281="",G281=""),"",F281*G281)</f>
        <v/>
      </c>
      <c r="I281" s="12"/>
      <c r="J281" s="12"/>
    </row>
    <row r="282" customFormat="false" ht="18.75" hidden="false" customHeight="true" outlineLevel="0" collapsed="false">
      <c r="B282" s="13" t="n">
        <v>278</v>
      </c>
      <c r="C282" s="14"/>
      <c r="D282" s="15"/>
      <c r="E282" s="16"/>
      <c r="F282" s="17"/>
      <c r="G282" s="10" t="str">
        <f aca="false">IF(D282="","",IF(D282="EarPods",1500,IF(D282="Button Phone",6000,IF(D282="Memory Card",1000,IF(D282="Charger",1200,IF(D282="Tripod Stand",4500,IF(D282="Selfie Stick",2500,IF(D282="Cables",800,IF(D282="Ringlight",8500,IF(D282="Speakers",5500,IF(D282="Wireless Mic",7000,IF(D282="Mouse",3200,IF(D282="Powerbanks",6000,IF(D282="Smartwatch",10000,""))))))))))))))</f>
        <v/>
      </c>
      <c r="H282" s="11" t="str">
        <f aca="false">IF(OR(F282="",G282=""),"",F282*G282)</f>
        <v/>
      </c>
      <c r="I282" s="18"/>
      <c r="J282" s="18"/>
    </row>
    <row r="283" customFormat="false" ht="18.75" hidden="false" customHeight="true" outlineLevel="0" collapsed="false">
      <c r="B283" s="5" t="n">
        <v>279</v>
      </c>
      <c r="C283" s="6"/>
      <c r="D283" s="7"/>
      <c r="E283" s="8"/>
      <c r="F283" s="9"/>
      <c r="G283" s="10" t="str">
        <f aca="false">IF(D283="","",IF(D283="EarPods",1500,IF(D283="Button Phone",6000,IF(D283="Memory Card",1000,IF(D283="Charger",1200,IF(D283="Tripod Stand",4500,IF(D283="Selfie Stick",2500,IF(D283="Cables",800,IF(D283="Ringlight",8500,IF(D283="Speakers",5500,IF(D283="Wireless Mic",7000,IF(D283="Mouse",3200,IF(D283="Powerbanks",6000,IF(D283="Smartwatch",10000,""))))))))))))))</f>
        <v/>
      </c>
      <c r="H283" s="11" t="str">
        <f aca="false">IF(OR(F283="",G283=""),"",F283*G283)</f>
        <v/>
      </c>
      <c r="I283" s="12"/>
      <c r="J283" s="12"/>
    </row>
    <row r="284" customFormat="false" ht="18.75" hidden="false" customHeight="true" outlineLevel="0" collapsed="false">
      <c r="B284" s="13" t="n">
        <v>280</v>
      </c>
      <c r="C284" s="14"/>
      <c r="D284" s="15"/>
      <c r="E284" s="16"/>
      <c r="F284" s="17"/>
      <c r="G284" s="10" t="str">
        <f aca="false">IF(D284="","",IF(D284="EarPods",1500,IF(D284="Button Phone",6000,IF(D284="Memory Card",1000,IF(D284="Charger",1200,IF(D284="Tripod Stand",4500,IF(D284="Selfie Stick",2500,IF(D284="Cables",800,IF(D284="Ringlight",8500,IF(D284="Speakers",5500,IF(D284="Wireless Mic",7000,IF(D284="Mouse",3200,IF(D284="Powerbanks",6000,IF(D284="Smartwatch",10000,""))))))))))))))</f>
        <v/>
      </c>
      <c r="H284" s="11" t="str">
        <f aca="false">IF(OR(F284="",G284=""),"",F284*G284)</f>
        <v/>
      </c>
      <c r="I284" s="18"/>
      <c r="J284" s="18"/>
    </row>
    <row r="285" customFormat="false" ht="18.75" hidden="false" customHeight="true" outlineLevel="0" collapsed="false">
      <c r="B285" s="5" t="n">
        <v>281</v>
      </c>
      <c r="C285" s="6"/>
      <c r="D285" s="7"/>
      <c r="E285" s="8"/>
      <c r="F285" s="9"/>
      <c r="G285" s="10" t="str">
        <f aca="false">IF(D285="","",IF(D285="EarPods",1500,IF(D285="Button Phone",6000,IF(D285="Memory Card",1000,IF(D285="Charger",1200,IF(D285="Tripod Stand",4500,IF(D285="Selfie Stick",2500,IF(D285="Cables",800,IF(D285="Ringlight",8500,IF(D285="Speakers",5500,IF(D285="Wireless Mic",7000,IF(D285="Mouse",3200,IF(D285="Powerbanks",6000,IF(D285="Smartwatch",10000,""))))))))))))))</f>
        <v/>
      </c>
      <c r="H285" s="11" t="str">
        <f aca="false">IF(OR(F285="",G285=""),"",F285*G285)</f>
        <v/>
      </c>
      <c r="I285" s="12"/>
      <c r="J285" s="12"/>
    </row>
    <row r="286" customFormat="false" ht="18.75" hidden="false" customHeight="true" outlineLevel="0" collapsed="false">
      <c r="B286" s="13" t="n">
        <v>282</v>
      </c>
      <c r="C286" s="14"/>
      <c r="D286" s="15"/>
      <c r="E286" s="16"/>
      <c r="F286" s="17"/>
      <c r="G286" s="10" t="str">
        <f aca="false">IF(D286="","",IF(D286="EarPods",1500,IF(D286="Button Phone",6000,IF(D286="Memory Card",1000,IF(D286="Charger",1200,IF(D286="Tripod Stand",4500,IF(D286="Selfie Stick",2500,IF(D286="Cables",800,IF(D286="Ringlight",8500,IF(D286="Speakers",5500,IF(D286="Wireless Mic",7000,IF(D286="Mouse",3200,IF(D286="Powerbanks",6000,IF(D286="Smartwatch",10000,""))))))))))))))</f>
        <v/>
      </c>
      <c r="H286" s="11" t="str">
        <f aca="false">IF(OR(F286="",G286=""),"",F286*G286)</f>
        <v/>
      </c>
      <c r="I286" s="18"/>
      <c r="J286" s="18"/>
    </row>
    <row r="287" customFormat="false" ht="18.75" hidden="false" customHeight="true" outlineLevel="0" collapsed="false">
      <c r="B287" s="5" t="n">
        <v>283</v>
      </c>
      <c r="C287" s="6"/>
      <c r="D287" s="7"/>
      <c r="E287" s="8"/>
      <c r="F287" s="9"/>
      <c r="G287" s="10" t="str">
        <f aca="false">IF(D287="","",IF(D287="EarPods",1500,IF(D287="Button Phone",6000,IF(D287="Memory Card",1000,IF(D287="Charger",1200,IF(D287="Tripod Stand",4500,IF(D287="Selfie Stick",2500,IF(D287="Cables",800,IF(D287="Ringlight",8500,IF(D287="Speakers",5500,IF(D287="Wireless Mic",7000,IF(D287="Mouse",3200,IF(D287="Powerbanks",6000,IF(D287="Smartwatch",10000,""))))))))))))))</f>
        <v/>
      </c>
      <c r="H287" s="11" t="str">
        <f aca="false">IF(OR(F287="",G287=""),"",F287*G287)</f>
        <v/>
      </c>
      <c r="I287" s="12"/>
      <c r="J287" s="12"/>
    </row>
    <row r="288" customFormat="false" ht="18.75" hidden="false" customHeight="true" outlineLevel="0" collapsed="false">
      <c r="B288" s="13" t="n">
        <v>284</v>
      </c>
      <c r="C288" s="14"/>
      <c r="D288" s="15"/>
      <c r="E288" s="16"/>
      <c r="F288" s="17"/>
      <c r="G288" s="10" t="str">
        <f aca="false">IF(D288="","",IF(D288="EarPods",1500,IF(D288="Button Phone",6000,IF(D288="Memory Card",1000,IF(D288="Charger",1200,IF(D288="Tripod Stand",4500,IF(D288="Selfie Stick",2500,IF(D288="Cables",800,IF(D288="Ringlight",8500,IF(D288="Speakers",5500,IF(D288="Wireless Mic",7000,IF(D288="Mouse",3200,IF(D288="Powerbanks",6000,IF(D288="Smartwatch",10000,""))))))))))))))</f>
        <v/>
      </c>
      <c r="H288" s="11" t="str">
        <f aca="false">IF(OR(F288="",G288=""),"",F288*G288)</f>
        <v/>
      </c>
      <c r="I288" s="18"/>
      <c r="J288" s="18"/>
    </row>
    <row r="289" customFormat="false" ht="18.75" hidden="false" customHeight="true" outlineLevel="0" collapsed="false">
      <c r="B289" s="5" t="n">
        <v>285</v>
      </c>
      <c r="C289" s="6"/>
      <c r="D289" s="7"/>
      <c r="E289" s="8"/>
      <c r="F289" s="9"/>
      <c r="G289" s="10" t="str">
        <f aca="false">IF(D289="","",IF(D289="EarPods",1500,IF(D289="Button Phone",6000,IF(D289="Memory Card",1000,IF(D289="Charger",1200,IF(D289="Tripod Stand",4500,IF(D289="Selfie Stick",2500,IF(D289="Cables",800,IF(D289="Ringlight",8500,IF(D289="Speakers",5500,IF(D289="Wireless Mic",7000,IF(D289="Mouse",3200,IF(D289="Powerbanks",6000,IF(D289="Smartwatch",10000,""))))))))))))))</f>
        <v/>
      </c>
      <c r="H289" s="11" t="str">
        <f aca="false">IF(OR(F289="",G289=""),"",F289*G289)</f>
        <v/>
      </c>
      <c r="I289" s="12"/>
      <c r="J289" s="12"/>
    </row>
    <row r="290" customFormat="false" ht="18.75" hidden="false" customHeight="true" outlineLevel="0" collapsed="false">
      <c r="B290" s="13" t="n">
        <v>286</v>
      </c>
      <c r="C290" s="14"/>
      <c r="D290" s="15"/>
      <c r="E290" s="16"/>
      <c r="F290" s="17"/>
      <c r="G290" s="10" t="str">
        <f aca="false">IF(D290="","",IF(D290="EarPods",1500,IF(D290="Button Phone",6000,IF(D290="Memory Card",1000,IF(D290="Charger",1200,IF(D290="Tripod Stand",4500,IF(D290="Selfie Stick",2500,IF(D290="Cables",800,IF(D290="Ringlight",8500,IF(D290="Speakers",5500,IF(D290="Wireless Mic",7000,IF(D290="Mouse",3200,IF(D290="Powerbanks",6000,IF(D290="Smartwatch",10000,""))))))))))))))</f>
        <v/>
      </c>
      <c r="H290" s="11" t="str">
        <f aca="false">IF(OR(F290="",G290=""),"",F290*G290)</f>
        <v/>
      </c>
      <c r="I290" s="18"/>
      <c r="J290" s="18"/>
    </row>
    <row r="291" customFormat="false" ht="18.75" hidden="false" customHeight="true" outlineLevel="0" collapsed="false">
      <c r="B291" s="5" t="n">
        <v>287</v>
      </c>
      <c r="C291" s="6"/>
      <c r="D291" s="7"/>
      <c r="E291" s="8"/>
      <c r="F291" s="9"/>
      <c r="G291" s="10" t="str">
        <f aca="false">IF(D291="","",IF(D291="EarPods",1500,IF(D291="Button Phone",6000,IF(D291="Memory Card",1000,IF(D291="Charger",1200,IF(D291="Tripod Stand",4500,IF(D291="Selfie Stick",2500,IF(D291="Cables",800,IF(D291="Ringlight",8500,IF(D291="Speakers",5500,IF(D291="Wireless Mic",7000,IF(D291="Mouse",3200,IF(D291="Powerbanks",6000,IF(D291="Smartwatch",10000,""))))))))))))))</f>
        <v/>
      </c>
      <c r="H291" s="11" t="str">
        <f aca="false">IF(OR(F291="",G291=""),"",F291*G291)</f>
        <v/>
      </c>
      <c r="I291" s="12"/>
      <c r="J291" s="12"/>
    </row>
    <row r="292" customFormat="false" ht="18.75" hidden="false" customHeight="true" outlineLevel="0" collapsed="false">
      <c r="B292" s="13" t="n">
        <v>288</v>
      </c>
      <c r="C292" s="14"/>
      <c r="D292" s="15"/>
      <c r="E292" s="16"/>
      <c r="F292" s="17"/>
      <c r="G292" s="10" t="str">
        <f aca="false">IF(D292="","",IF(D292="EarPods",1500,IF(D292="Button Phone",6000,IF(D292="Memory Card",1000,IF(D292="Charger",1200,IF(D292="Tripod Stand",4500,IF(D292="Selfie Stick",2500,IF(D292="Cables",800,IF(D292="Ringlight",8500,IF(D292="Speakers",5500,IF(D292="Wireless Mic",7000,IF(D292="Mouse",3200,IF(D292="Powerbanks",6000,IF(D292="Smartwatch",10000,""))))))))))))))</f>
        <v/>
      </c>
      <c r="H292" s="11" t="str">
        <f aca="false">IF(OR(F292="",G292=""),"",F292*G292)</f>
        <v/>
      </c>
      <c r="I292" s="18"/>
      <c r="J292" s="18"/>
    </row>
    <row r="293" customFormat="false" ht="18.75" hidden="false" customHeight="true" outlineLevel="0" collapsed="false">
      <c r="B293" s="5" t="n">
        <v>289</v>
      </c>
      <c r="C293" s="6"/>
      <c r="D293" s="7"/>
      <c r="E293" s="8"/>
      <c r="F293" s="9"/>
      <c r="G293" s="10" t="str">
        <f aca="false">IF(D293="","",IF(D293="EarPods",1500,IF(D293="Button Phone",6000,IF(D293="Memory Card",1000,IF(D293="Charger",1200,IF(D293="Tripod Stand",4500,IF(D293="Selfie Stick",2500,IF(D293="Cables",800,IF(D293="Ringlight",8500,IF(D293="Speakers",5500,IF(D293="Wireless Mic",7000,IF(D293="Mouse",3200,IF(D293="Powerbanks",6000,IF(D293="Smartwatch",10000,""))))))))))))))</f>
        <v/>
      </c>
      <c r="H293" s="11" t="str">
        <f aca="false">IF(OR(F293="",G293=""),"",F293*G293)</f>
        <v/>
      </c>
      <c r="I293" s="12"/>
      <c r="J293" s="12"/>
    </row>
    <row r="294" customFormat="false" ht="18.75" hidden="false" customHeight="true" outlineLevel="0" collapsed="false">
      <c r="B294" s="13" t="n">
        <v>290</v>
      </c>
      <c r="C294" s="14"/>
      <c r="D294" s="15"/>
      <c r="E294" s="16"/>
      <c r="F294" s="17"/>
      <c r="G294" s="10" t="str">
        <f aca="false">IF(D294="","",IF(D294="EarPods",1500,IF(D294="Button Phone",6000,IF(D294="Memory Card",1000,IF(D294="Charger",1200,IF(D294="Tripod Stand",4500,IF(D294="Selfie Stick",2500,IF(D294="Cables",800,IF(D294="Ringlight",8500,IF(D294="Speakers",5500,IF(D294="Wireless Mic",7000,IF(D294="Mouse",3200,IF(D294="Powerbanks",6000,IF(D294="Smartwatch",10000,""))))))))))))))</f>
        <v/>
      </c>
      <c r="H294" s="11" t="str">
        <f aca="false">IF(OR(F294="",G294=""),"",F294*G294)</f>
        <v/>
      </c>
      <c r="I294" s="18"/>
      <c r="J294" s="18"/>
    </row>
    <row r="295" customFormat="false" ht="18.75" hidden="false" customHeight="true" outlineLevel="0" collapsed="false">
      <c r="B295" s="5" t="n">
        <v>291</v>
      </c>
      <c r="C295" s="6"/>
      <c r="D295" s="7"/>
      <c r="E295" s="8"/>
      <c r="F295" s="9"/>
      <c r="G295" s="10" t="str">
        <f aca="false">IF(D295="","",IF(D295="EarPods",1500,IF(D295="Button Phone",6000,IF(D295="Memory Card",1000,IF(D295="Charger",1200,IF(D295="Tripod Stand",4500,IF(D295="Selfie Stick",2500,IF(D295="Cables",800,IF(D295="Ringlight",8500,IF(D295="Speakers",5500,IF(D295="Wireless Mic",7000,IF(D295="Mouse",3200,IF(D295="Powerbanks",6000,IF(D295="Smartwatch",10000,""))))))))))))))</f>
        <v/>
      </c>
      <c r="H295" s="11" t="str">
        <f aca="false">IF(OR(F295="",G295=""),"",F295*G295)</f>
        <v/>
      </c>
      <c r="I295" s="12"/>
      <c r="J295" s="12"/>
    </row>
    <row r="296" customFormat="false" ht="18.75" hidden="false" customHeight="true" outlineLevel="0" collapsed="false">
      <c r="B296" s="13" t="n">
        <v>292</v>
      </c>
      <c r="C296" s="14"/>
      <c r="D296" s="15"/>
      <c r="E296" s="16"/>
      <c r="F296" s="17"/>
      <c r="G296" s="10" t="str">
        <f aca="false">IF(D296="","",IF(D296="EarPods",1500,IF(D296="Button Phone",6000,IF(D296="Memory Card",1000,IF(D296="Charger",1200,IF(D296="Tripod Stand",4500,IF(D296="Selfie Stick",2500,IF(D296="Cables",800,IF(D296="Ringlight",8500,IF(D296="Speakers",5500,IF(D296="Wireless Mic",7000,IF(D296="Mouse",3200,IF(D296="Powerbanks",6000,IF(D296="Smartwatch",10000,""))))))))))))))</f>
        <v/>
      </c>
      <c r="H296" s="11" t="str">
        <f aca="false">IF(OR(F296="",G296=""),"",F296*G296)</f>
        <v/>
      </c>
      <c r="I296" s="18"/>
      <c r="J296" s="18"/>
    </row>
    <row r="297" customFormat="false" ht="18.75" hidden="false" customHeight="true" outlineLevel="0" collapsed="false">
      <c r="B297" s="5" t="n">
        <v>293</v>
      </c>
      <c r="C297" s="6"/>
      <c r="D297" s="7"/>
      <c r="E297" s="8"/>
      <c r="F297" s="9"/>
      <c r="G297" s="10" t="str">
        <f aca="false">IF(D297="","",IF(D297="EarPods",1500,IF(D297="Button Phone",6000,IF(D297="Memory Card",1000,IF(D297="Charger",1200,IF(D297="Tripod Stand",4500,IF(D297="Selfie Stick",2500,IF(D297="Cables",800,IF(D297="Ringlight",8500,IF(D297="Speakers",5500,IF(D297="Wireless Mic",7000,IF(D297="Mouse",3200,IF(D297="Powerbanks",6000,IF(D297="Smartwatch",10000,""))))))))))))))</f>
        <v/>
      </c>
      <c r="H297" s="11" t="str">
        <f aca="false">IF(OR(F297="",G297=""),"",F297*G297)</f>
        <v/>
      </c>
      <c r="I297" s="12"/>
      <c r="J297" s="12"/>
    </row>
    <row r="298" customFormat="false" ht="18.75" hidden="false" customHeight="true" outlineLevel="0" collapsed="false">
      <c r="B298" s="13" t="n">
        <v>294</v>
      </c>
      <c r="C298" s="14"/>
      <c r="D298" s="15"/>
      <c r="E298" s="16"/>
      <c r="F298" s="17"/>
      <c r="G298" s="10" t="str">
        <f aca="false">IF(D298="","",IF(D298="EarPods",1500,IF(D298="Button Phone",6000,IF(D298="Memory Card",1000,IF(D298="Charger",1200,IF(D298="Tripod Stand",4500,IF(D298="Selfie Stick",2500,IF(D298="Cables",800,IF(D298="Ringlight",8500,IF(D298="Speakers",5500,IF(D298="Wireless Mic",7000,IF(D298="Mouse",3200,IF(D298="Powerbanks",6000,IF(D298="Smartwatch",10000,""))))))))))))))</f>
        <v/>
      </c>
      <c r="H298" s="11" t="str">
        <f aca="false">IF(OR(F298="",G298=""),"",F298*G298)</f>
        <v/>
      </c>
      <c r="I298" s="18"/>
      <c r="J298" s="18"/>
    </row>
    <row r="299" customFormat="false" ht="18.75" hidden="false" customHeight="true" outlineLevel="0" collapsed="false">
      <c r="B299" s="5" t="n">
        <v>295</v>
      </c>
      <c r="C299" s="6"/>
      <c r="D299" s="7"/>
      <c r="E299" s="8"/>
      <c r="F299" s="9"/>
      <c r="G299" s="10" t="str">
        <f aca="false">IF(D299="","",IF(D299="EarPods",1500,IF(D299="Button Phone",6000,IF(D299="Memory Card",1000,IF(D299="Charger",1200,IF(D299="Tripod Stand",4500,IF(D299="Selfie Stick",2500,IF(D299="Cables",800,IF(D299="Ringlight",8500,IF(D299="Speakers",5500,IF(D299="Wireless Mic",7000,IF(D299="Mouse",3200,IF(D299="Powerbanks",6000,IF(D299="Smartwatch",10000,""))))))))))))))</f>
        <v/>
      </c>
      <c r="H299" s="11" t="str">
        <f aca="false">IF(OR(F299="",G299=""),"",F299*G299)</f>
        <v/>
      </c>
      <c r="I299" s="12"/>
      <c r="J299" s="12"/>
    </row>
    <row r="300" customFormat="false" ht="18.75" hidden="false" customHeight="true" outlineLevel="0" collapsed="false">
      <c r="B300" s="13" t="n">
        <v>296</v>
      </c>
      <c r="C300" s="14"/>
      <c r="D300" s="15"/>
      <c r="E300" s="16"/>
      <c r="F300" s="17"/>
      <c r="G300" s="10" t="str">
        <f aca="false">IF(D300="","",IF(D300="EarPods",1500,IF(D300="Button Phone",6000,IF(D300="Memory Card",1000,IF(D300="Charger",1200,IF(D300="Tripod Stand",4500,IF(D300="Selfie Stick",2500,IF(D300="Cables",800,IF(D300="Ringlight",8500,IF(D300="Speakers",5500,IF(D300="Wireless Mic",7000,IF(D300="Mouse",3200,IF(D300="Powerbanks",6000,IF(D300="Smartwatch",10000,""))))))))))))))</f>
        <v/>
      </c>
      <c r="H300" s="11" t="str">
        <f aca="false">IF(OR(F300="",G300=""),"",F300*G300)</f>
        <v/>
      </c>
      <c r="I300" s="18"/>
      <c r="J300" s="18"/>
    </row>
    <row r="301" customFormat="false" ht="18.75" hidden="false" customHeight="true" outlineLevel="0" collapsed="false">
      <c r="B301" s="5" t="n">
        <v>297</v>
      </c>
      <c r="C301" s="6"/>
      <c r="D301" s="7"/>
      <c r="E301" s="8"/>
      <c r="F301" s="9"/>
      <c r="G301" s="10" t="str">
        <f aca="false">IF(D301="","",IF(D301="EarPods",1500,IF(D301="Button Phone",6000,IF(D301="Memory Card",1000,IF(D301="Charger",1200,IF(D301="Tripod Stand",4500,IF(D301="Selfie Stick",2500,IF(D301="Cables",800,IF(D301="Ringlight",8500,IF(D301="Speakers",5500,IF(D301="Wireless Mic",7000,IF(D301="Mouse",3200,IF(D301="Powerbanks",6000,IF(D301="Smartwatch",10000,""))))))))))))))</f>
        <v/>
      </c>
      <c r="H301" s="11" t="str">
        <f aca="false">IF(OR(F301="",G301=""),"",F301*G301)</f>
        <v/>
      </c>
      <c r="I301" s="12"/>
      <c r="J301" s="12"/>
    </row>
    <row r="302" customFormat="false" ht="18.75" hidden="false" customHeight="true" outlineLevel="0" collapsed="false">
      <c r="B302" s="13" t="n">
        <v>298</v>
      </c>
      <c r="C302" s="14"/>
      <c r="D302" s="15"/>
      <c r="E302" s="16"/>
      <c r="F302" s="17"/>
      <c r="G302" s="10" t="str">
        <f aca="false">IF(D302="","",IF(D302="EarPods",1500,IF(D302="Button Phone",6000,IF(D302="Memory Card",1000,IF(D302="Charger",1200,IF(D302="Tripod Stand",4500,IF(D302="Selfie Stick",2500,IF(D302="Cables",800,IF(D302="Ringlight",8500,IF(D302="Speakers",5500,IF(D302="Wireless Mic",7000,IF(D302="Mouse",3200,IF(D302="Powerbanks",6000,IF(D302="Smartwatch",10000,""))))))))))))))</f>
        <v/>
      </c>
      <c r="H302" s="11" t="str">
        <f aca="false">IF(OR(F302="",G302=""),"",F302*G302)</f>
        <v/>
      </c>
      <c r="I302" s="18"/>
      <c r="J302" s="18"/>
    </row>
    <row r="303" customFormat="false" ht="18.75" hidden="false" customHeight="true" outlineLevel="0" collapsed="false">
      <c r="B303" s="5" t="n">
        <v>299</v>
      </c>
      <c r="C303" s="6"/>
      <c r="D303" s="7"/>
      <c r="E303" s="8"/>
      <c r="F303" s="9"/>
      <c r="G303" s="10" t="str">
        <f aca="false">IF(D303="","",IF(D303="EarPods",1500,IF(D303="Button Phone",6000,IF(D303="Memory Card",1000,IF(D303="Charger",1200,IF(D303="Tripod Stand",4500,IF(D303="Selfie Stick",2500,IF(D303="Cables",800,IF(D303="Ringlight",8500,IF(D303="Speakers",5500,IF(D303="Wireless Mic",7000,IF(D303="Mouse",3200,IF(D303="Powerbanks",6000,IF(D303="Smartwatch",10000,""))))))))))))))</f>
        <v/>
      </c>
      <c r="H303" s="11" t="str">
        <f aca="false">IF(OR(F303="",G303=""),"",F303*G303)</f>
        <v/>
      </c>
      <c r="I303" s="12"/>
      <c r="J303" s="12"/>
    </row>
    <row r="304" customFormat="false" ht="18.75" hidden="false" customHeight="true" outlineLevel="0" collapsed="false">
      <c r="B304" s="13" t="n">
        <v>300</v>
      </c>
      <c r="C304" s="14"/>
      <c r="D304" s="15"/>
      <c r="E304" s="16"/>
      <c r="F304" s="17"/>
      <c r="G304" s="10" t="str">
        <f aca="false">IF(D304="","",IF(D304="EarPods",1500,IF(D304="Button Phone",6000,IF(D304="Memory Card",1000,IF(D304="Charger",1200,IF(D304="Tripod Stand",4500,IF(D304="Selfie Stick",2500,IF(D304="Cables",800,IF(D304="Ringlight",8500,IF(D304="Speakers",5500,IF(D304="Wireless Mic",7000,IF(D304="Mouse",3200,IF(D304="Powerbanks",6000,IF(D304="Smartwatch",10000,""))))))))))))))</f>
        <v/>
      </c>
      <c r="H304" s="11" t="str">
        <f aca="false">IF(OR(F304="",G304=""),"",F304*G304)</f>
        <v/>
      </c>
      <c r="I304" s="18"/>
      <c r="J304" s="18"/>
    </row>
    <row r="305" customFormat="false" ht="18.75" hidden="false" customHeight="true" outlineLevel="0" collapsed="false">
      <c r="B305" s="5" t="n">
        <v>301</v>
      </c>
      <c r="C305" s="6"/>
      <c r="D305" s="7"/>
      <c r="E305" s="8"/>
      <c r="F305" s="9"/>
      <c r="G305" s="10" t="str">
        <f aca="false">IF(D305="","",IF(D305="EarPods",1500,IF(D305="Button Phone",6000,IF(D305="Memory Card",1000,IF(D305="Charger",1200,IF(D305="Tripod Stand",4500,IF(D305="Selfie Stick",2500,IF(D305="Cables",800,IF(D305="Ringlight",8500,IF(D305="Speakers",5500,IF(D305="Wireless Mic",7000,IF(D305="Mouse",3200,IF(D305="Powerbanks",6000,IF(D305="Smartwatch",10000,""))))))))))))))</f>
        <v/>
      </c>
      <c r="H305" s="11" t="str">
        <f aca="false">IF(OR(F305="",G305=""),"",F305*G305)</f>
        <v/>
      </c>
      <c r="I305" s="12"/>
      <c r="J305" s="12"/>
    </row>
    <row r="306" customFormat="false" ht="18.75" hidden="false" customHeight="true" outlineLevel="0" collapsed="false">
      <c r="B306" s="13" t="n">
        <v>302</v>
      </c>
      <c r="C306" s="14"/>
      <c r="D306" s="15"/>
      <c r="E306" s="16"/>
      <c r="F306" s="17"/>
      <c r="G306" s="10" t="str">
        <f aca="false">IF(D306="","",IF(D306="EarPods",1500,IF(D306="Button Phone",6000,IF(D306="Memory Card",1000,IF(D306="Charger",1200,IF(D306="Tripod Stand",4500,IF(D306="Selfie Stick",2500,IF(D306="Cables",800,IF(D306="Ringlight",8500,IF(D306="Speakers",5500,IF(D306="Wireless Mic",7000,IF(D306="Mouse",3200,IF(D306="Powerbanks",6000,IF(D306="Smartwatch",10000,""))))))))))))))</f>
        <v/>
      </c>
      <c r="H306" s="11" t="str">
        <f aca="false">IF(OR(F306="",G306=""),"",F306*G306)</f>
        <v/>
      </c>
      <c r="I306" s="18"/>
      <c r="J306" s="18"/>
    </row>
    <row r="307" customFormat="false" ht="18.75" hidden="false" customHeight="true" outlineLevel="0" collapsed="false">
      <c r="B307" s="5" t="n">
        <v>303</v>
      </c>
      <c r="C307" s="6"/>
      <c r="D307" s="7"/>
      <c r="E307" s="8"/>
      <c r="F307" s="9"/>
      <c r="G307" s="10" t="str">
        <f aca="false">IF(D307="","",IF(D307="EarPods",1500,IF(D307="Button Phone",6000,IF(D307="Memory Card",1000,IF(D307="Charger",1200,IF(D307="Tripod Stand",4500,IF(D307="Selfie Stick",2500,IF(D307="Cables",800,IF(D307="Ringlight",8500,IF(D307="Speakers",5500,IF(D307="Wireless Mic",7000,IF(D307="Mouse",3200,IF(D307="Powerbanks",6000,IF(D307="Smartwatch",10000,""))))))))))))))</f>
        <v/>
      </c>
      <c r="H307" s="11" t="str">
        <f aca="false">IF(OR(F307="",G307=""),"",F307*G307)</f>
        <v/>
      </c>
      <c r="I307" s="12"/>
      <c r="J307" s="12"/>
    </row>
    <row r="308" customFormat="false" ht="18.75" hidden="false" customHeight="true" outlineLevel="0" collapsed="false">
      <c r="B308" s="13" t="n">
        <v>304</v>
      </c>
      <c r="C308" s="14"/>
      <c r="D308" s="15"/>
      <c r="E308" s="16"/>
      <c r="F308" s="17"/>
      <c r="G308" s="10" t="str">
        <f aca="false">IF(D308="","",IF(D308="EarPods",1500,IF(D308="Button Phone",6000,IF(D308="Memory Card",1000,IF(D308="Charger",1200,IF(D308="Tripod Stand",4500,IF(D308="Selfie Stick",2500,IF(D308="Cables",800,IF(D308="Ringlight",8500,IF(D308="Speakers",5500,IF(D308="Wireless Mic",7000,IF(D308="Mouse",3200,IF(D308="Powerbanks",6000,IF(D308="Smartwatch",10000,""))))))))))))))</f>
        <v/>
      </c>
      <c r="H308" s="11" t="str">
        <f aca="false">IF(OR(F308="",G308=""),"",F308*G308)</f>
        <v/>
      </c>
      <c r="I308" s="18"/>
      <c r="J308" s="18"/>
    </row>
    <row r="309" customFormat="false" ht="18.75" hidden="false" customHeight="true" outlineLevel="0" collapsed="false">
      <c r="B309" s="5" t="n">
        <v>305</v>
      </c>
      <c r="C309" s="6"/>
      <c r="D309" s="7"/>
      <c r="E309" s="8"/>
      <c r="F309" s="9"/>
      <c r="G309" s="10" t="str">
        <f aca="false">IF(D309="","",IF(D309="EarPods",1500,IF(D309="Button Phone",6000,IF(D309="Memory Card",1000,IF(D309="Charger",1200,IF(D309="Tripod Stand",4500,IF(D309="Selfie Stick",2500,IF(D309="Cables",800,IF(D309="Ringlight",8500,IF(D309="Speakers",5500,IF(D309="Wireless Mic",7000,IF(D309="Mouse",3200,IF(D309="Powerbanks",6000,IF(D309="Smartwatch",10000,""))))))))))))))</f>
        <v/>
      </c>
      <c r="H309" s="11" t="str">
        <f aca="false">IF(OR(F309="",G309=""),"",F309*G309)</f>
        <v/>
      </c>
      <c r="I309" s="12"/>
      <c r="J309" s="12"/>
    </row>
    <row r="310" customFormat="false" ht="18.75" hidden="false" customHeight="true" outlineLevel="0" collapsed="false">
      <c r="B310" s="13" t="n">
        <v>306</v>
      </c>
      <c r="C310" s="14"/>
      <c r="D310" s="15"/>
      <c r="E310" s="16"/>
      <c r="F310" s="17"/>
      <c r="G310" s="10" t="str">
        <f aca="false">IF(D310="","",IF(D310="EarPods",1500,IF(D310="Button Phone",6000,IF(D310="Memory Card",1000,IF(D310="Charger",1200,IF(D310="Tripod Stand",4500,IF(D310="Selfie Stick",2500,IF(D310="Cables",800,IF(D310="Ringlight",8500,IF(D310="Speakers",5500,IF(D310="Wireless Mic",7000,IF(D310="Mouse",3200,IF(D310="Powerbanks",6000,IF(D310="Smartwatch",10000,""))))))))))))))</f>
        <v/>
      </c>
      <c r="H310" s="11" t="str">
        <f aca="false">IF(OR(F310="",G310=""),"",F310*G310)</f>
        <v/>
      </c>
      <c r="I310" s="18"/>
      <c r="J310" s="18"/>
    </row>
    <row r="311" customFormat="false" ht="18.75" hidden="false" customHeight="true" outlineLevel="0" collapsed="false">
      <c r="B311" s="5" t="n">
        <v>307</v>
      </c>
      <c r="C311" s="6"/>
      <c r="D311" s="7"/>
      <c r="E311" s="8"/>
      <c r="F311" s="9"/>
      <c r="G311" s="10" t="str">
        <f aca="false">IF(D311="","",IF(D311="EarPods",1500,IF(D311="Button Phone",6000,IF(D311="Memory Card",1000,IF(D311="Charger",1200,IF(D311="Tripod Stand",4500,IF(D311="Selfie Stick",2500,IF(D311="Cables",800,IF(D311="Ringlight",8500,IF(D311="Speakers",5500,IF(D311="Wireless Mic",7000,IF(D311="Mouse",3200,IF(D311="Powerbanks",6000,IF(D311="Smartwatch",10000,""))))))))))))))</f>
        <v/>
      </c>
      <c r="H311" s="11" t="str">
        <f aca="false">IF(OR(F311="",G311=""),"",F311*G311)</f>
        <v/>
      </c>
      <c r="I311" s="12"/>
      <c r="J311" s="12"/>
    </row>
    <row r="312" customFormat="false" ht="18.75" hidden="false" customHeight="true" outlineLevel="0" collapsed="false">
      <c r="B312" s="13" t="n">
        <v>308</v>
      </c>
      <c r="C312" s="14"/>
      <c r="D312" s="15"/>
      <c r="E312" s="16"/>
      <c r="F312" s="17"/>
      <c r="G312" s="10" t="str">
        <f aca="false">IF(D312="","",IF(D312="EarPods",1500,IF(D312="Button Phone",6000,IF(D312="Memory Card",1000,IF(D312="Charger",1200,IF(D312="Tripod Stand",4500,IF(D312="Selfie Stick",2500,IF(D312="Cables",800,IF(D312="Ringlight",8500,IF(D312="Speakers",5500,IF(D312="Wireless Mic",7000,IF(D312="Mouse",3200,IF(D312="Powerbanks",6000,IF(D312="Smartwatch",10000,""))))))))))))))</f>
        <v/>
      </c>
      <c r="H312" s="11" t="str">
        <f aca="false">IF(OR(F312="",G312=""),"",F312*G312)</f>
        <v/>
      </c>
      <c r="I312" s="18"/>
      <c r="J312" s="18"/>
    </row>
    <row r="313" customFormat="false" ht="18.75" hidden="false" customHeight="true" outlineLevel="0" collapsed="false">
      <c r="B313" s="5" t="n">
        <v>309</v>
      </c>
      <c r="C313" s="6"/>
      <c r="D313" s="7"/>
      <c r="E313" s="8"/>
      <c r="F313" s="9"/>
      <c r="G313" s="10" t="str">
        <f aca="false">IF(D313="","",IF(D313="EarPods",1500,IF(D313="Button Phone",6000,IF(D313="Memory Card",1000,IF(D313="Charger",1200,IF(D313="Tripod Stand",4500,IF(D313="Selfie Stick",2500,IF(D313="Cables",800,IF(D313="Ringlight",8500,IF(D313="Speakers",5500,IF(D313="Wireless Mic",7000,IF(D313="Mouse",3200,IF(D313="Powerbanks",6000,IF(D313="Smartwatch",10000,""))))))))))))))</f>
        <v/>
      </c>
      <c r="H313" s="11" t="str">
        <f aca="false">IF(OR(F313="",G313=""),"",F313*G313)</f>
        <v/>
      </c>
      <c r="I313" s="12"/>
      <c r="J313" s="12"/>
    </row>
    <row r="314" customFormat="false" ht="18.75" hidden="false" customHeight="true" outlineLevel="0" collapsed="false">
      <c r="B314" s="13" t="n">
        <v>310</v>
      </c>
      <c r="C314" s="14"/>
      <c r="D314" s="15"/>
      <c r="E314" s="16"/>
      <c r="F314" s="17"/>
      <c r="G314" s="10" t="str">
        <f aca="false">IF(D314="","",IF(D314="EarPods",1500,IF(D314="Button Phone",6000,IF(D314="Memory Card",1000,IF(D314="Charger",1200,IF(D314="Tripod Stand",4500,IF(D314="Selfie Stick",2500,IF(D314="Cables",800,IF(D314="Ringlight",8500,IF(D314="Speakers",5500,IF(D314="Wireless Mic",7000,IF(D314="Mouse",3200,IF(D314="Powerbanks",6000,IF(D314="Smartwatch",10000,""))))))))))))))</f>
        <v/>
      </c>
      <c r="H314" s="11" t="str">
        <f aca="false">IF(OR(F314="",G314=""),"",F314*G314)</f>
        <v/>
      </c>
      <c r="I314" s="18"/>
      <c r="J314" s="18"/>
    </row>
    <row r="315" customFormat="false" ht="18.75" hidden="false" customHeight="true" outlineLevel="0" collapsed="false">
      <c r="B315" s="5" t="n">
        <v>311</v>
      </c>
      <c r="C315" s="6"/>
      <c r="D315" s="7"/>
      <c r="E315" s="8"/>
      <c r="F315" s="9"/>
      <c r="G315" s="10" t="str">
        <f aca="false">IF(D315="","",IF(D315="EarPods",1500,IF(D315="Button Phone",6000,IF(D315="Memory Card",1000,IF(D315="Charger",1200,IF(D315="Tripod Stand",4500,IF(D315="Selfie Stick",2500,IF(D315="Cables",800,IF(D315="Ringlight",8500,IF(D315="Speakers",5500,IF(D315="Wireless Mic",7000,IF(D315="Mouse",3200,IF(D315="Powerbanks",6000,IF(D315="Smartwatch",10000,""))))))))))))))</f>
        <v/>
      </c>
      <c r="H315" s="11" t="str">
        <f aca="false">IF(OR(F315="",G315=""),"",F315*G315)</f>
        <v/>
      </c>
      <c r="I315" s="12"/>
      <c r="J315" s="12"/>
    </row>
    <row r="316" customFormat="false" ht="18.75" hidden="false" customHeight="true" outlineLevel="0" collapsed="false">
      <c r="B316" s="13" t="n">
        <v>312</v>
      </c>
      <c r="C316" s="14"/>
      <c r="D316" s="15"/>
      <c r="E316" s="16"/>
      <c r="F316" s="17"/>
      <c r="G316" s="10" t="str">
        <f aca="false">IF(D316="","",IF(D316="EarPods",1500,IF(D316="Button Phone",6000,IF(D316="Memory Card",1000,IF(D316="Charger",1200,IF(D316="Tripod Stand",4500,IF(D316="Selfie Stick",2500,IF(D316="Cables",800,IF(D316="Ringlight",8500,IF(D316="Speakers",5500,IF(D316="Wireless Mic",7000,IF(D316="Mouse",3200,IF(D316="Powerbanks",6000,IF(D316="Smartwatch",10000,""))))))))))))))</f>
        <v/>
      </c>
      <c r="H316" s="11" t="str">
        <f aca="false">IF(OR(F316="",G316=""),"",F316*G316)</f>
        <v/>
      </c>
      <c r="I316" s="18"/>
      <c r="J316" s="18"/>
    </row>
    <row r="317" customFormat="false" ht="18.75" hidden="false" customHeight="true" outlineLevel="0" collapsed="false">
      <c r="B317" s="5" t="n">
        <v>313</v>
      </c>
      <c r="C317" s="6"/>
      <c r="D317" s="7"/>
      <c r="E317" s="8"/>
      <c r="F317" s="9"/>
      <c r="G317" s="10" t="str">
        <f aca="false">IF(D317="","",IF(D317="EarPods",1500,IF(D317="Button Phone",6000,IF(D317="Memory Card",1000,IF(D317="Charger",1200,IF(D317="Tripod Stand",4500,IF(D317="Selfie Stick",2500,IF(D317="Cables",800,IF(D317="Ringlight",8500,IF(D317="Speakers",5500,IF(D317="Wireless Mic",7000,IF(D317="Mouse",3200,IF(D317="Powerbanks",6000,IF(D317="Smartwatch",10000,""))))))))))))))</f>
        <v/>
      </c>
      <c r="H317" s="11" t="str">
        <f aca="false">IF(OR(F317="",G317=""),"",F317*G317)</f>
        <v/>
      </c>
      <c r="I317" s="12"/>
      <c r="J317" s="12"/>
    </row>
    <row r="318" customFormat="false" ht="18.75" hidden="false" customHeight="true" outlineLevel="0" collapsed="false">
      <c r="B318" s="13" t="n">
        <v>314</v>
      </c>
      <c r="C318" s="14"/>
      <c r="D318" s="15"/>
      <c r="E318" s="16"/>
      <c r="F318" s="17"/>
      <c r="G318" s="10" t="str">
        <f aca="false">IF(D318="","",IF(D318="EarPods",1500,IF(D318="Button Phone",6000,IF(D318="Memory Card",1000,IF(D318="Charger",1200,IF(D318="Tripod Stand",4500,IF(D318="Selfie Stick",2500,IF(D318="Cables",800,IF(D318="Ringlight",8500,IF(D318="Speakers",5500,IF(D318="Wireless Mic",7000,IF(D318="Mouse",3200,IF(D318="Powerbanks",6000,IF(D318="Smartwatch",10000,""))))))))))))))</f>
        <v/>
      </c>
      <c r="H318" s="11" t="str">
        <f aca="false">IF(OR(F318="",G318=""),"",F318*G318)</f>
        <v/>
      </c>
      <c r="I318" s="18"/>
      <c r="J318" s="18"/>
    </row>
    <row r="319" customFormat="false" ht="18.75" hidden="false" customHeight="true" outlineLevel="0" collapsed="false">
      <c r="B319" s="5" t="n">
        <v>315</v>
      </c>
      <c r="C319" s="6"/>
      <c r="D319" s="7"/>
      <c r="E319" s="8"/>
      <c r="F319" s="9"/>
      <c r="G319" s="10" t="str">
        <f aca="false">IF(D319="","",IF(D319="EarPods",1500,IF(D319="Button Phone",6000,IF(D319="Memory Card",1000,IF(D319="Charger",1200,IF(D319="Tripod Stand",4500,IF(D319="Selfie Stick",2500,IF(D319="Cables",800,IF(D319="Ringlight",8500,IF(D319="Speakers",5500,IF(D319="Wireless Mic",7000,IF(D319="Mouse",3200,IF(D319="Powerbanks",6000,IF(D319="Smartwatch",10000,""))))))))))))))</f>
        <v/>
      </c>
      <c r="H319" s="11" t="str">
        <f aca="false">IF(OR(F319="",G319=""),"",F319*G319)</f>
        <v/>
      </c>
      <c r="I319" s="12"/>
      <c r="J319" s="12"/>
    </row>
    <row r="320" customFormat="false" ht="18.75" hidden="false" customHeight="true" outlineLevel="0" collapsed="false">
      <c r="B320" s="13" t="n">
        <v>316</v>
      </c>
      <c r="C320" s="14"/>
      <c r="D320" s="15"/>
      <c r="E320" s="16"/>
      <c r="F320" s="17"/>
      <c r="G320" s="10" t="str">
        <f aca="false">IF(D320="","",IF(D320="EarPods",1500,IF(D320="Button Phone",6000,IF(D320="Memory Card",1000,IF(D320="Charger",1200,IF(D320="Tripod Stand",4500,IF(D320="Selfie Stick",2500,IF(D320="Cables",800,IF(D320="Ringlight",8500,IF(D320="Speakers",5500,IF(D320="Wireless Mic",7000,IF(D320="Mouse",3200,IF(D320="Powerbanks",6000,IF(D320="Smartwatch",10000,""))))))))))))))</f>
        <v/>
      </c>
      <c r="H320" s="11" t="str">
        <f aca="false">IF(OR(F320="",G320=""),"",F320*G320)</f>
        <v/>
      </c>
      <c r="I320" s="18"/>
      <c r="J320" s="18"/>
    </row>
    <row r="321" customFormat="false" ht="18.75" hidden="false" customHeight="true" outlineLevel="0" collapsed="false">
      <c r="B321" s="5" t="n">
        <v>317</v>
      </c>
      <c r="C321" s="6"/>
      <c r="D321" s="7"/>
      <c r="E321" s="8"/>
      <c r="F321" s="9"/>
      <c r="G321" s="10" t="str">
        <f aca="false">IF(D321="","",IF(D321="EarPods",1500,IF(D321="Button Phone",6000,IF(D321="Memory Card",1000,IF(D321="Charger",1200,IF(D321="Tripod Stand",4500,IF(D321="Selfie Stick",2500,IF(D321="Cables",800,IF(D321="Ringlight",8500,IF(D321="Speakers",5500,IF(D321="Wireless Mic",7000,IF(D321="Mouse",3200,IF(D321="Powerbanks",6000,IF(D321="Smartwatch",10000,""))))))))))))))</f>
        <v/>
      </c>
      <c r="H321" s="11" t="str">
        <f aca="false">IF(OR(F321="",G321=""),"",F321*G321)</f>
        <v/>
      </c>
      <c r="I321" s="12"/>
      <c r="J321" s="12"/>
    </row>
    <row r="322" customFormat="false" ht="18.75" hidden="false" customHeight="true" outlineLevel="0" collapsed="false">
      <c r="B322" s="13" t="n">
        <v>318</v>
      </c>
      <c r="C322" s="14"/>
      <c r="D322" s="15"/>
      <c r="E322" s="16"/>
      <c r="F322" s="17"/>
      <c r="G322" s="10" t="str">
        <f aca="false">IF(D322="","",IF(D322="EarPods",1500,IF(D322="Button Phone",6000,IF(D322="Memory Card",1000,IF(D322="Charger",1200,IF(D322="Tripod Stand",4500,IF(D322="Selfie Stick",2500,IF(D322="Cables",800,IF(D322="Ringlight",8500,IF(D322="Speakers",5500,IF(D322="Wireless Mic",7000,IF(D322="Mouse",3200,IF(D322="Powerbanks",6000,IF(D322="Smartwatch",10000,""))))))))))))))</f>
        <v/>
      </c>
      <c r="H322" s="11" t="str">
        <f aca="false">IF(OR(F322="",G322=""),"",F322*G322)</f>
        <v/>
      </c>
      <c r="I322" s="18"/>
      <c r="J322" s="18"/>
    </row>
    <row r="323" customFormat="false" ht="18.75" hidden="false" customHeight="true" outlineLevel="0" collapsed="false">
      <c r="B323" s="5" t="n">
        <v>319</v>
      </c>
      <c r="C323" s="6"/>
      <c r="D323" s="7"/>
      <c r="E323" s="8"/>
      <c r="F323" s="9"/>
      <c r="G323" s="10" t="str">
        <f aca="false">IF(D323="","",IF(D323="EarPods",1500,IF(D323="Button Phone",6000,IF(D323="Memory Card",1000,IF(D323="Charger",1200,IF(D323="Tripod Stand",4500,IF(D323="Selfie Stick",2500,IF(D323="Cables",800,IF(D323="Ringlight",8500,IF(D323="Speakers",5500,IF(D323="Wireless Mic",7000,IF(D323="Mouse",3200,IF(D323="Powerbanks",6000,IF(D323="Smartwatch",10000,""))))))))))))))</f>
        <v/>
      </c>
      <c r="H323" s="11" t="str">
        <f aca="false">IF(OR(F323="",G323=""),"",F323*G323)</f>
        <v/>
      </c>
      <c r="I323" s="12"/>
      <c r="J323" s="12"/>
    </row>
    <row r="324" customFormat="false" ht="18.75" hidden="false" customHeight="true" outlineLevel="0" collapsed="false">
      <c r="B324" s="13" t="n">
        <v>320</v>
      </c>
      <c r="C324" s="14"/>
      <c r="D324" s="15"/>
      <c r="E324" s="16"/>
      <c r="F324" s="17"/>
      <c r="G324" s="10" t="str">
        <f aca="false">IF(D324="","",IF(D324="EarPods",1500,IF(D324="Button Phone",6000,IF(D324="Memory Card",1000,IF(D324="Charger",1200,IF(D324="Tripod Stand",4500,IF(D324="Selfie Stick",2500,IF(D324="Cables",800,IF(D324="Ringlight",8500,IF(D324="Speakers",5500,IF(D324="Wireless Mic",7000,IF(D324="Mouse",3200,IF(D324="Powerbanks",6000,IF(D324="Smartwatch",10000,""))))))))))))))</f>
        <v/>
      </c>
      <c r="H324" s="11" t="str">
        <f aca="false">IF(OR(F324="",G324=""),"",F324*G324)</f>
        <v/>
      </c>
      <c r="I324" s="18"/>
      <c r="J324" s="18"/>
    </row>
    <row r="325" customFormat="false" ht="18.75" hidden="false" customHeight="true" outlineLevel="0" collapsed="false">
      <c r="B325" s="5" t="n">
        <v>321</v>
      </c>
      <c r="C325" s="6"/>
      <c r="D325" s="7"/>
      <c r="E325" s="8"/>
      <c r="F325" s="9"/>
      <c r="G325" s="10" t="str">
        <f aca="false">IF(D325="","",IF(D325="EarPods",1500,IF(D325="Button Phone",6000,IF(D325="Memory Card",1000,IF(D325="Charger",1200,IF(D325="Tripod Stand",4500,IF(D325="Selfie Stick",2500,IF(D325="Cables",800,IF(D325="Ringlight",8500,IF(D325="Speakers",5500,IF(D325="Wireless Mic",7000,IF(D325="Mouse",3200,IF(D325="Powerbanks",6000,IF(D325="Smartwatch",10000,""))))))))))))))</f>
        <v/>
      </c>
      <c r="H325" s="11" t="str">
        <f aca="false">IF(OR(F325="",G325=""),"",F325*G325)</f>
        <v/>
      </c>
      <c r="I325" s="12"/>
      <c r="J325" s="12"/>
    </row>
    <row r="326" customFormat="false" ht="18.75" hidden="false" customHeight="true" outlineLevel="0" collapsed="false">
      <c r="B326" s="13" t="n">
        <v>322</v>
      </c>
      <c r="C326" s="14"/>
      <c r="D326" s="15"/>
      <c r="E326" s="16"/>
      <c r="F326" s="17"/>
      <c r="G326" s="10" t="str">
        <f aca="false">IF(D326="","",IF(D326="EarPods",1500,IF(D326="Button Phone",6000,IF(D326="Memory Card",1000,IF(D326="Charger",1200,IF(D326="Tripod Stand",4500,IF(D326="Selfie Stick",2500,IF(D326="Cables",800,IF(D326="Ringlight",8500,IF(D326="Speakers",5500,IF(D326="Wireless Mic",7000,IF(D326="Mouse",3200,IF(D326="Powerbanks",6000,IF(D326="Smartwatch",10000,""))))))))))))))</f>
        <v/>
      </c>
      <c r="H326" s="11" t="str">
        <f aca="false">IF(OR(F326="",G326=""),"",F326*G326)</f>
        <v/>
      </c>
      <c r="I326" s="18"/>
      <c r="J326" s="18"/>
    </row>
    <row r="327" customFormat="false" ht="18.75" hidden="false" customHeight="true" outlineLevel="0" collapsed="false">
      <c r="B327" s="5" t="n">
        <v>323</v>
      </c>
      <c r="C327" s="6"/>
      <c r="D327" s="7"/>
      <c r="E327" s="8"/>
      <c r="F327" s="9"/>
      <c r="G327" s="10" t="str">
        <f aca="false">IF(D327="","",IF(D327="EarPods",1500,IF(D327="Button Phone",6000,IF(D327="Memory Card",1000,IF(D327="Charger",1200,IF(D327="Tripod Stand",4500,IF(D327="Selfie Stick",2500,IF(D327="Cables",800,IF(D327="Ringlight",8500,IF(D327="Speakers",5500,IF(D327="Wireless Mic",7000,IF(D327="Mouse",3200,IF(D327="Powerbanks",6000,IF(D327="Smartwatch",10000,""))))))))))))))</f>
        <v/>
      </c>
      <c r="H327" s="11" t="str">
        <f aca="false">IF(OR(F327="",G327=""),"",F327*G327)</f>
        <v/>
      </c>
      <c r="I327" s="12"/>
      <c r="J327" s="12"/>
    </row>
    <row r="328" customFormat="false" ht="18.75" hidden="false" customHeight="true" outlineLevel="0" collapsed="false">
      <c r="B328" s="13" t="n">
        <v>324</v>
      </c>
      <c r="C328" s="14"/>
      <c r="D328" s="15"/>
      <c r="E328" s="16"/>
      <c r="F328" s="17"/>
      <c r="G328" s="10" t="str">
        <f aca="false">IF(D328="","",IF(D328="EarPods",1500,IF(D328="Button Phone",6000,IF(D328="Memory Card",1000,IF(D328="Charger",1200,IF(D328="Tripod Stand",4500,IF(D328="Selfie Stick",2500,IF(D328="Cables",800,IF(D328="Ringlight",8500,IF(D328="Speakers",5500,IF(D328="Wireless Mic",7000,IF(D328="Mouse",3200,IF(D328="Powerbanks",6000,IF(D328="Smartwatch",10000,""))))))))))))))</f>
        <v/>
      </c>
      <c r="H328" s="11" t="str">
        <f aca="false">IF(OR(F328="",G328=""),"",F328*G328)</f>
        <v/>
      </c>
      <c r="I328" s="18"/>
      <c r="J328" s="18"/>
    </row>
    <row r="329" customFormat="false" ht="18.75" hidden="false" customHeight="true" outlineLevel="0" collapsed="false">
      <c r="B329" s="5" t="n">
        <v>325</v>
      </c>
      <c r="C329" s="6"/>
      <c r="D329" s="7"/>
      <c r="E329" s="8"/>
      <c r="F329" s="9"/>
      <c r="G329" s="10" t="str">
        <f aca="false">IF(D329="","",IF(D329="EarPods",1500,IF(D329="Button Phone",6000,IF(D329="Memory Card",1000,IF(D329="Charger",1200,IF(D329="Tripod Stand",4500,IF(D329="Selfie Stick",2500,IF(D329="Cables",800,IF(D329="Ringlight",8500,IF(D329="Speakers",5500,IF(D329="Wireless Mic",7000,IF(D329="Mouse",3200,IF(D329="Powerbanks",6000,IF(D329="Smartwatch",10000,""))))))))))))))</f>
        <v/>
      </c>
      <c r="H329" s="11" t="str">
        <f aca="false">IF(OR(F329="",G329=""),"",F329*G329)</f>
        <v/>
      </c>
      <c r="I329" s="12"/>
      <c r="J329" s="12"/>
    </row>
    <row r="330" customFormat="false" ht="18.75" hidden="false" customHeight="true" outlineLevel="0" collapsed="false">
      <c r="B330" s="13" t="n">
        <v>326</v>
      </c>
      <c r="C330" s="14"/>
      <c r="D330" s="15"/>
      <c r="E330" s="16"/>
      <c r="F330" s="17"/>
      <c r="G330" s="10" t="str">
        <f aca="false">IF(D330="","",IF(D330="EarPods",1500,IF(D330="Button Phone",6000,IF(D330="Memory Card",1000,IF(D330="Charger",1200,IF(D330="Tripod Stand",4500,IF(D330="Selfie Stick",2500,IF(D330="Cables",800,IF(D330="Ringlight",8500,IF(D330="Speakers",5500,IF(D330="Wireless Mic",7000,IF(D330="Mouse",3200,IF(D330="Powerbanks",6000,IF(D330="Smartwatch",10000,""))))))))))))))</f>
        <v/>
      </c>
      <c r="H330" s="11" t="str">
        <f aca="false">IF(OR(F330="",G330=""),"",F330*G330)</f>
        <v/>
      </c>
      <c r="I330" s="18"/>
      <c r="J330" s="18"/>
    </row>
    <row r="331" customFormat="false" ht="18.75" hidden="false" customHeight="true" outlineLevel="0" collapsed="false">
      <c r="B331" s="5" t="n">
        <v>327</v>
      </c>
      <c r="C331" s="6"/>
      <c r="D331" s="7"/>
      <c r="E331" s="8"/>
      <c r="F331" s="9"/>
      <c r="G331" s="10" t="str">
        <f aca="false">IF(D331="","",IF(D331="EarPods",1500,IF(D331="Button Phone",6000,IF(D331="Memory Card",1000,IF(D331="Charger",1200,IF(D331="Tripod Stand",4500,IF(D331="Selfie Stick",2500,IF(D331="Cables",800,IF(D331="Ringlight",8500,IF(D331="Speakers",5500,IF(D331="Wireless Mic",7000,IF(D331="Mouse",3200,IF(D331="Powerbanks",6000,IF(D331="Smartwatch",10000,""))))))))))))))</f>
        <v/>
      </c>
      <c r="H331" s="11" t="str">
        <f aca="false">IF(OR(F331="",G331=""),"",F331*G331)</f>
        <v/>
      </c>
      <c r="I331" s="12"/>
      <c r="J331" s="12"/>
    </row>
    <row r="332" customFormat="false" ht="18.75" hidden="false" customHeight="true" outlineLevel="0" collapsed="false">
      <c r="B332" s="13" t="n">
        <v>328</v>
      </c>
      <c r="C332" s="14"/>
      <c r="D332" s="15"/>
      <c r="E332" s="16"/>
      <c r="F332" s="17"/>
      <c r="G332" s="10" t="str">
        <f aca="false">IF(D332="","",IF(D332="EarPods",1500,IF(D332="Button Phone",6000,IF(D332="Memory Card",1000,IF(D332="Charger",1200,IF(D332="Tripod Stand",4500,IF(D332="Selfie Stick",2500,IF(D332="Cables",800,IF(D332="Ringlight",8500,IF(D332="Speakers",5500,IF(D332="Wireless Mic",7000,IF(D332="Mouse",3200,IF(D332="Powerbanks",6000,IF(D332="Smartwatch",10000,""))))))))))))))</f>
        <v/>
      </c>
      <c r="H332" s="11" t="str">
        <f aca="false">IF(OR(F332="",G332=""),"",F332*G332)</f>
        <v/>
      </c>
      <c r="I332" s="18"/>
      <c r="J332" s="18"/>
    </row>
    <row r="333" customFormat="false" ht="18.75" hidden="false" customHeight="true" outlineLevel="0" collapsed="false">
      <c r="B333" s="5" t="n">
        <v>329</v>
      </c>
      <c r="C333" s="6"/>
      <c r="D333" s="7"/>
      <c r="E333" s="8"/>
      <c r="F333" s="9"/>
      <c r="G333" s="10" t="str">
        <f aca="false">IF(D333="","",IF(D333="EarPods",1500,IF(D333="Button Phone",6000,IF(D333="Memory Card",1000,IF(D333="Charger",1200,IF(D333="Tripod Stand",4500,IF(D333="Selfie Stick",2500,IF(D333="Cables",800,IF(D333="Ringlight",8500,IF(D333="Speakers",5500,IF(D333="Wireless Mic",7000,IF(D333="Mouse",3200,IF(D333="Powerbanks",6000,IF(D333="Smartwatch",10000,""))))))))))))))</f>
        <v/>
      </c>
      <c r="H333" s="11" t="str">
        <f aca="false">IF(OR(F333="",G333=""),"",F333*G333)</f>
        <v/>
      </c>
      <c r="I333" s="12"/>
      <c r="J333" s="12"/>
    </row>
    <row r="334" customFormat="false" ht="18.75" hidden="false" customHeight="true" outlineLevel="0" collapsed="false">
      <c r="B334" s="13" t="n">
        <v>330</v>
      </c>
      <c r="C334" s="14"/>
      <c r="D334" s="15"/>
      <c r="E334" s="16"/>
      <c r="F334" s="17"/>
      <c r="G334" s="10" t="str">
        <f aca="false">IF(D334="","",IF(D334="EarPods",1500,IF(D334="Button Phone",6000,IF(D334="Memory Card",1000,IF(D334="Charger",1200,IF(D334="Tripod Stand",4500,IF(D334="Selfie Stick",2500,IF(D334="Cables",800,IF(D334="Ringlight",8500,IF(D334="Speakers",5500,IF(D334="Wireless Mic",7000,IF(D334="Mouse",3200,IF(D334="Powerbanks",6000,IF(D334="Smartwatch",10000,""))))))))))))))</f>
        <v/>
      </c>
      <c r="H334" s="11" t="str">
        <f aca="false">IF(OR(F334="",G334=""),"",F334*G334)</f>
        <v/>
      </c>
      <c r="I334" s="18"/>
      <c r="J334" s="18"/>
    </row>
    <row r="335" customFormat="false" ht="18.75" hidden="false" customHeight="true" outlineLevel="0" collapsed="false">
      <c r="B335" s="5" t="n">
        <v>331</v>
      </c>
      <c r="C335" s="6"/>
      <c r="D335" s="7"/>
      <c r="E335" s="8"/>
      <c r="F335" s="9"/>
      <c r="G335" s="10" t="str">
        <f aca="false">IF(D335="","",IF(D335="EarPods",1500,IF(D335="Button Phone",6000,IF(D335="Memory Card",1000,IF(D335="Charger",1200,IF(D335="Tripod Stand",4500,IF(D335="Selfie Stick",2500,IF(D335="Cables",800,IF(D335="Ringlight",8500,IF(D335="Speakers",5500,IF(D335="Wireless Mic",7000,IF(D335="Mouse",3200,IF(D335="Powerbanks",6000,IF(D335="Smartwatch",10000,""))))))))))))))</f>
        <v/>
      </c>
      <c r="H335" s="11" t="str">
        <f aca="false">IF(OR(F335="",G335=""),"",F335*G335)</f>
        <v/>
      </c>
      <c r="I335" s="12"/>
      <c r="J335" s="12"/>
    </row>
    <row r="336" customFormat="false" ht="18.75" hidden="false" customHeight="true" outlineLevel="0" collapsed="false">
      <c r="B336" s="13" t="n">
        <v>332</v>
      </c>
      <c r="C336" s="14"/>
      <c r="D336" s="15"/>
      <c r="E336" s="16"/>
      <c r="F336" s="17"/>
      <c r="G336" s="10" t="str">
        <f aca="false">IF(D336="","",IF(D336="EarPods",1500,IF(D336="Button Phone",6000,IF(D336="Memory Card",1000,IF(D336="Charger",1200,IF(D336="Tripod Stand",4500,IF(D336="Selfie Stick",2500,IF(D336="Cables",800,IF(D336="Ringlight",8500,IF(D336="Speakers",5500,IF(D336="Wireless Mic",7000,IF(D336="Mouse",3200,IF(D336="Powerbanks",6000,IF(D336="Smartwatch",10000,""))))))))))))))</f>
        <v/>
      </c>
      <c r="H336" s="11" t="str">
        <f aca="false">IF(OR(F336="",G336=""),"",F336*G336)</f>
        <v/>
      </c>
      <c r="I336" s="18"/>
      <c r="J336" s="18"/>
    </row>
    <row r="337" customFormat="false" ht="18.75" hidden="false" customHeight="true" outlineLevel="0" collapsed="false">
      <c r="B337" s="5" t="n">
        <v>333</v>
      </c>
      <c r="C337" s="6"/>
      <c r="D337" s="7"/>
      <c r="E337" s="8"/>
      <c r="F337" s="9"/>
      <c r="G337" s="10" t="str">
        <f aca="false">IF(D337="","",IF(D337="EarPods",1500,IF(D337="Button Phone",6000,IF(D337="Memory Card",1000,IF(D337="Charger",1200,IF(D337="Tripod Stand",4500,IF(D337="Selfie Stick",2500,IF(D337="Cables",800,IF(D337="Ringlight",8500,IF(D337="Speakers",5500,IF(D337="Wireless Mic",7000,IF(D337="Mouse",3200,IF(D337="Powerbanks",6000,IF(D337="Smartwatch",10000,""))))))))))))))</f>
        <v/>
      </c>
      <c r="H337" s="11" t="str">
        <f aca="false">IF(OR(F337="",G337=""),"",F337*G337)</f>
        <v/>
      </c>
      <c r="I337" s="12"/>
      <c r="J337" s="12"/>
    </row>
    <row r="338" customFormat="false" ht="18.75" hidden="false" customHeight="true" outlineLevel="0" collapsed="false">
      <c r="B338" s="13" t="n">
        <v>334</v>
      </c>
      <c r="C338" s="14"/>
      <c r="D338" s="15"/>
      <c r="E338" s="16"/>
      <c r="F338" s="17"/>
      <c r="G338" s="10" t="str">
        <f aca="false">IF(D338="","",IF(D338="EarPods",1500,IF(D338="Button Phone",6000,IF(D338="Memory Card",1000,IF(D338="Charger",1200,IF(D338="Tripod Stand",4500,IF(D338="Selfie Stick",2500,IF(D338="Cables",800,IF(D338="Ringlight",8500,IF(D338="Speakers",5500,IF(D338="Wireless Mic",7000,IF(D338="Mouse",3200,IF(D338="Powerbanks",6000,IF(D338="Smartwatch",10000,""))))))))))))))</f>
        <v/>
      </c>
      <c r="H338" s="11" t="str">
        <f aca="false">IF(OR(F338="",G338=""),"",F338*G338)</f>
        <v/>
      </c>
      <c r="I338" s="18"/>
      <c r="J338" s="18"/>
    </row>
    <row r="339" customFormat="false" ht="18.75" hidden="false" customHeight="true" outlineLevel="0" collapsed="false">
      <c r="B339" s="5" t="n">
        <v>335</v>
      </c>
      <c r="C339" s="6"/>
      <c r="D339" s="7"/>
      <c r="E339" s="8"/>
      <c r="F339" s="9"/>
      <c r="G339" s="10" t="str">
        <f aca="false">IF(D339="","",IF(D339="EarPods",1500,IF(D339="Button Phone",6000,IF(D339="Memory Card",1000,IF(D339="Charger",1200,IF(D339="Tripod Stand",4500,IF(D339="Selfie Stick",2500,IF(D339="Cables",800,IF(D339="Ringlight",8500,IF(D339="Speakers",5500,IF(D339="Wireless Mic",7000,IF(D339="Mouse",3200,IF(D339="Powerbanks",6000,IF(D339="Smartwatch",10000,""))))))))))))))</f>
        <v/>
      </c>
      <c r="H339" s="11" t="str">
        <f aca="false">IF(OR(F339="",G339=""),"",F339*G339)</f>
        <v/>
      </c>
      <c r="I339" s="12"/>
      <c r="J339" s="12"/>
    </row>
    <row r="340" customFormat="false" ht="18.75" hidden="false" customHeight="true" outlineLevel="0" collapsed="false">
      <c r="B340" s="13" t="n">
        <v>336</v>
      </c>
      <c r="C340" s="14"/>
      <c r="D340" s="15"/>
      <c r="E340" s="16"/>
      <c r="F340" s="17"/>
      <c r="G340" s="10" t="str">
        <f aca="false">IF(D340="","",IF(D340="EarPods",1500,IF(D340="Button Phone",6000,IF(D340="Memory Card",1000,IF(D340="Charger",1200,IF(D340="Tripod Stand",4500,IF(D340="Selfie Stick",2500,IF(D340="Cables",800,IF(D340="Ringlight",8500,IF(D340="Speakers",5500,IF(D340="Wireless Mic",7000,IF(D340="Mouse",3200,IF(D340="Powerbanks",6000,IF(D340="Smartwatch",10000,""))))))))))))))</f>
        <v/>
      </c>
      <c r="H340" s="11" t="str">
        <f aca="false">IF(OR(F340="",G340=""),"",F340*G340)</f>
        <v/>
      </c>
      <c r="I340" s="18"/>
      <c r="J340" s="18"/>
    </row>
    <row r="341" customFormat="false" ht="18.75" hidden="false" customHeight="true" outlineLevel="0" collapsed="false">
      <c r="B341" s="5" t="n">
        <v>337</v>
      </c>
      <c r="C341" s="6"/>
      <c r="D341" s="7"/>
      <c r="E341" s="8"/>
      <c r="F341" s="9"/>
      <c r="G341" s="10" t="str">
        <f aca="false">IF(D341="","",IF(D341="EarPods",1500,IF(D341="Button Phone",6000,IF(D341="Memory Card",1000,IF(D341="Charger",1200,IF(D341="Tripod Stand",4500,IF(D341="Selfie Stick",2500,IF(D341="Cables",800,IF(D341="Ringlight",8500,IF(D341="Speakers",5500,IF(D341="Wireless Mic",7000,IF(D341="Mouse",3200,IF(D341="Powerbanks",6000,IF(D341="Smartwatch",10000,""))))))))))))))</f>
        <v/>
      </c>
      <c r="H341" s="11" t="str">
        <f aca="false">IF(OR(F341="",G341=""),"",F341*G341)</f>
        <v/>
      </c>
      <c r="I341" s="12"/>
      <c r="J341" s="12"/>
    </row>
    <row r="342" customFormat="false" ht="18.75" hidden="false" customHeight="true" outlineLevel="0" collapsed="false">
      <c r="B342" s="13" t="n">
        <v>338</v>
      </c>
      <c r="C342" s="14"/>
      <c r="D342" s="15"/>
      <c r="E342" s="16"/>
      <c r="F342" s="17"/>
      <c r="G342" s="10" t="str">
        <f aca="false">IF(D342="","",IF(D342="EarPods",1500,IF(D342="Button Phone",6000,IF(D342="Memory Card",1000,IF(D342="Charger",1200,IF(D342="Tripod Stand",4500,IF(D342="Selfie Stick",2500,IF(D342="Cables",800,IF(D342="Ringlight",8500,IF(D342="Speakers",5500,IF(D342="Wireless Mic",7000,IF(D342="Mouse",3200,IF(D342="Powerbanks",6000,IF(D342="Smartwatch",10000,""))))))))))))))</f>
        <v/>
      </c>
      <c r="H342" s="11" t="str">
        <f aca="false">IF(OR(F342="",G342=""),"",F342*G342)</f>
        <v/>
      </c>
      <c r="I342" s="18"/>
      <c r="J342" s="18"/>
    </row>
    <row r="343" customFormat="false" ht="18.75" hidden="false" customHeight="true" outlineLevel="0" collapsed="false">
      <c r="B343" s="5" t="n">
        <v>339</v>
      </c>
      <c r="C343" s="6"/>
      <c r="D343" s="7"/>
      <c r="E343" s="8"/>
      <c r="F343" s="9"/>
      <c r="G343" s="10" t="str">
        <f aca="false">IF(D343="","",IF(D343="EarPods",1500,IF(D343="Button Phone",6000,IF(D343="Memory Card",1000,IF(D343="Charger",1200,IF(D343="Tripod Stand",4500,IF(D343="Selfie Stick",2500,IF(D343="Cables",800,IF(D343="Ringlight",8500,IF(D343="Speakers",5500,IF(D343="Wireless Mic",7000,IF(D343="Mouse",3200,IF(D343="Powerbanks",6000,IF(D343="Smartwatch",10000,""))))))))))))))</f>
        <v/>
      </c>
      <c r="H343" s="11" t="str">
        <f aca="false">IF(OR(F343="",G343=""),"",F343*G343)</f>
        <v/>
      </c>
      <c r="I343" s="12"/>
      <c r="J343" s="12"/>
    </row>
    <row r="344" customFormat="false" ht="18.75" hidden="false" customHeight="true" outlineLevel="0" collapsed="false">
      <c r="B344" s="13" t="n">
        <v>340</v>
      </c>
      <c r="C344" s="14"/>
      <c r="D344" s="15"/>
      <c r="E344" s="16"/>
      <c r="F344" s="17"/>
      <c r="G344" s="10" t="str">
        <f aca="false">IF(D344="","",IF(D344="EarPods",1500,IF(D344="Button Phone",6000,IF(D344="Memory Card",1000,IF(D344="Charger",1200,IF(D344="Tripod Stand",4500,IF(D344="Selfie Stick",2500,IF(D344="Cables",800,IF(D344="Ringlight",8500,IF(D344="Speakers",5500,IF(D344="Wireless Mic",7000,IF(D344="Mouse",3200,IF(D344="Powerbanks",6000,IF(D344="Smartwatch",10000,""))))))))))))))</f>
        <v/>
      </c>
      <c r="H344" s="11" t="str">
        <f aca="false">IF(OR(F344="",G344=""),"",F344*G344)</f>
        <v/>
      </c>
      <c r="I344" s="18"/>
      <c r="J344" s="18"/>
    </row>
    <row r="345" customFormat="false" ht="18.75" hidden="false" customHeight="true" outlineLevel="0" collapsed="false">
      <c r="B345" s="5" t="n">
        <v>341</v>
      </c>
      <c r="C345" s="6"/>
      <c r="D345" s="7"/>
      <c r="E345" s="8"/>
      <c r="F345" s="9"/>
      <c r="G345" s="10" t="str">
        <f aca="false">IF(D345="","",IF(D345="EarPods",1500,IF(D345="Button Phone",6000,IF(D345="Memory Card",1000,IF(D345="Charger",1200,IF(D345="Tripod Stand",4500,IF(D345="Selfie Stick",2500,IF(D345="Cables",800,IF(D345="Ringlight",8500,IF(D345="Speakers",5500,IF(D345="Wireless Mic",7000,IF(D345="Mouse",3200,IF(D345="Powerbanks",6000,IF(D345="Smartwatch",10000,""))))))))))))))</f>
        <v/>
      </c>
      <c r="H345" s="11" t="str">
        <f aca="false">IF(OR(F345="",G345=""),"",F345*G345)</f>
        <v/>
      </c>
      <c r="I345" s="12"/>
      <c r="J345" s="12"/>
    </row>
    <row r="346" customFormat="false" ht="18.75" hidden="false" customHeight="true" outlineLevel="0" collapsed="false">
      <c r="B346" s="13" t="n">
        <v>342</v>
      </c>
      <c r="C346" s="14"/>
      <c r="D346" s="15"/>
      <c r="E346" s="16"/>
      <c r="F346" s="17"/>
      <c r="G346" s="10" t="str">
        <f aca="false">IF(D346="","",IF(D346="EarPods",1500,IF(D346="Button Phone",6000,IF(D346="Memory Card",1000,IF(D346="Charger",1200,IF(D346="Tripod Stand",4500,IF(D346="Selfie Stick",2500,IF(D346="Cables",800,IF(D346="Ringlight",8500,IF(D346="Speakers",5500,IF(D346="Wireless Mic",7000,IF(D346="Mouse",3200,IF(D346="Powerbanks",6000,IF(D346="Smartwatch",10000,""))))))))))))))</f>
        <v/>
      </c>
      <c r="H346" s="11" t="str">
        <f aca="false">IF(OR(F346="",G346=""),"",F346*G346)</f>
        <v/>
      </c>
      <c r="I346" s="18"/>
      <c r="J346" s="18"/>
    </row>
    <row r="347" customFormat="false" ht="18.75" hidden="false" customHeight="true" outlineLevel="0" collapsed="false">
      <c r="B347" s="5" t="n">
        <v>343</v>
      </c>
      <c r="C347" s="6"/>
      <c r="D347" s="7"/>
      <c r="E347" s="8"/>
      <c r="F347" s="9"/>
      <c r="G347" s="10" t="str">
        <f aca="false">IF(D347="","",IF(D347="EarPods",1500,IF(D347="Button Phone",6000,IF(D347="Memory Card",1000,IF(D347="Charger",1200,IF(D347="Tripod Stand",4500,IF(D347="Selfie Stick",2500,IF(D347="Cables",800,IF(D347="Ringlight",8500,IF(D347="Speakers",5500,IF(D347="Wireless Mic",7000,IF(D347="Mouse",3200,IF(D347="Powerbanks",6000,IF(D347="Smartwatch",10000,""))))))))))))))</f>
        <v/>
      </c>
      <c r="H347" s="11" t="str">
        <f aca="false">IF(OR(F347="",G347=""),"",F347*G347)</f>
        <v/>
      </c>
      <c r="I347" s="12"/>
      <c r="J347" s="12"/>
    </row>
    <row r="348" customFormat="false" ht="18.75" hidden="false" customHeight="true" outlineLevel="0" collapsed="false">
      <c r="B348" s="13" t="n">
        <v>344</v>
      </c>
      <c r="C348" s="14"/>
      <c r="D348" s="15"/>
      <c r="E348" s="16"/>
      <c r="F348" s="17"/>
      <c r="G348" s="10" t="str">
        <f aca="false">IF(D348="","",IF(D348="EarPods",1500,IF(D348="Button Phone",6000,IF(D348="Memory Card",1000,IF(D348="Charger",1200,IF(D348="Tripod Stand",4500,IF(D348="Selfie Stick",2500,IF(D348="Cables",800,IF(D348="Ringlight",8500,IF(D348="Speakers",5500,IF(D348="Wireless Mic",7000,IF(D348="Mouse",3200,IF(D348="Powerbanks",6000,IF(D348="Smartwatch",10000,""))))))))))))))</f>
        <v/>
      </c>
      <c r="H348" s="11" t="str">
        <f aca="false">IF(OR(F348="",G348=""),"",F348*G348)</f>
        <v/>
      </c>
      <c r="I348" s="18"/>
      <c r="J348" s="18"/>
    </row>
    <row r="349" customFormat="false" ht="18.75" hidden="false" customHeight="true" outlineLevel="0" collapsed="false">
      <c r="B349" s="5" t="n">
        <v>345</v>
      </c>
      <c r="C349" s="6"/>
      <c r="D349" s="7"/>
      <c r="E349" s="8"/>
      <c r="F349" s="9"/>
      <c r="G349" s="10" t="str">
        <f aca="false">IF(D349="","",IF(D349="EarPods",1500,IF(D349="Button Phone",6000,IF(D349="Memory Card",1000,IF(D349="Charger",1200,IF(D349="Tripod Stand",4500,IF(D349="Selfie Stick",2500,IF(D349="Cables",800,IF(D349="Ringlight",8500,IF(D349="Speakers",5500,IF(D349="Wireless Mic",7000,IF(D349="Mouse",3200,IF(D349="Powerbanks",6000,IF(D349="Smartwatch",10000,""))))))))))))))</f>
        <v/>
      </c>
      <c r="H349" s="11" t="str">
        <f aca="false">IF(OR(F349="",G349=""),"",F349*G349)</f>
        <v/>
      </c>
      <c r="I349" s="12"/>
      <c r="J349" s="12"/>
    </row>
    <row r="350" customFormat="false" ht="18.75" hidden="false" customHeight="true" outlineLevel="0" collapsed="false">
      <c r="B350" s="13" t="n">
        <v>346</v>
      </c>
      <c r="C350" s="14"/>
      <c r="D350" s="15"/>
      <c r="E350" s="16"/>
      <c r="F350" s="17"/>
      <c r="G350" s="10" t="str">
        <f aca="false">IF(D350="","",IF(D350="EarPods",1500,IF(D350="Button Phone",6000,IF(D350="Memory Card",1000,IF(D350="Charger",1200,IF(D350="Tripod Stand",4500,IF(D350="Selfie Stick",2500,IF(D350="Cables",800,IF(D350="Ringlight",8500,IF(D350="Speakers",5500,IF(D350="Wireless Mic",7000,IF(D350="Mouse",3200,IF(D350="Powerbanks",6000,IF(D350="Smartwatch",10000,""))))))))))))))</f>
        <v/>
      </c>
      <c r="H350" s="11" t="str">
        <f aca="false">IF(OR(F350="",G350=""),"",F350*G350)</f>
        <v/>
      </c>
      <c r="I350" s="18"/>
      <c r="J350" s="18"/>
    </row>
    <row r="351" customFormat="false" ht="18.75" hidden="false" customHeight="true" outlineLevel="0" collapsed="false">
      <c r="B351" s="5" t="n">
        <v>347</v>
      </c>
      <c r="C351" s="6"/>
      <c r="D351" s="7"/>
      <c r="E351" s="8"/>
      <c r="F351" s="9"/>
      <c r="G351" s="10" t="str">
        <f aca="false">IF(D351="","",IF(D351="EarPods",1500,IF(D351="Button Phone",6000,IF(D351="Memory Card",1000,IF(D351="Charger",1200,IF(D351="Tripod Stand",4500,IF(D351="Selfie Stick",2500,IF(D351="Cables",800,IF(D351="Ringlight",8500,IF(D351="Speakers",5500,IF(D351="Wireless Mic",7000,IF(D351="Mouse",3200,IF(D351="Powerbanks",6000,IF(D351="Smartwatch",10000,""))))))))))))))</f>
        <v/>
      </c>
      <c r="H351" s="11" t="str">
        <f aca="false">IF(OR(F351="",G351=""),"",F351*G351)</f>
        <v/>
      </c>
      <c r="I351" s="12"/>
      <c r="J351" s="12"/>
    </row>
    <row r="352" customFormat="false" ht="18.75" hidden="false" customHeight="true" outlineLevel="0" collapsed="false">
      <c r="B352" s="13" t="n">
        <v>348</v>
      </c>
      <c r="C352" s="14"/>
      <c r="D352" s="15"/>
      <c r="E352" s="16"/>
      <c r="F352" s="17"/>
      <c r="G352" s="10" t="str">
        <f aca="false">IF(D352="","",IF(D352="EarPods",1500,IF(D352="Button Phone",6000,IF(D352="Memory Card",1000,IF(D352="Charger",1200,IF(D352="Tripod Stand",4500,IF(D352="Selfie Stick",2500,IF(D352="Cables",800,IF(D352="Ringlight",8500,IF(D352="Speakers",5500,IF(D352="Wireless Mic",7000,IF(D352="Mouse",3200,IF(D352="Powerbanks",6000,IF(D352="Smartwatch",10000,""))))))))))))))</f>
        <v/>
      </c>
      <c r="H352" s="11" t="str">
        <f aca="false">IF(OR(F352="",G352=""),"",F352*G352)</f>
        <v/>
      </c>
      <c r="I352" s="18"/>
      <c r="J352" s="18"/>
    </row>
    <row r="353" customFormat="false" ht="18.75" hidden="false" customHeight="true" outlineLevel="0" collapsed="false">
      <c r="B353" s="5" t="n">
        <v>349</v>
      </c>
      <c r="C353" s="6"/>
      <c r="D353" s="7"/>
      <c r="E353" s="8"/>
      <c r="F353" s="9"/>
      <c r="G353" s="10" t="str">
        <f aca="false">IF(D353="","",IF(D353="EarPods",1500,IF(D353="Button Phone",6000,IF(D353="Memory Card",1000,IF(D353="Charger",1200,IF(D353="Tripod Stand",4500,IF(D353="Selfie Stick",2500,IF(D353="Cables",800,IF(D353="Ringlight",8500,IF(D353="Speakers",5500,IF(D353="Wireless Mic",7000,IF(D353="Mouse",3200,IF(D353="Powerbanks",6000,IF(D353="Smartwatch",10000,""))))))))))))))</f>
        <v/>
      </c>
      <c r="H353" s="11" t="str">
        <f aca="false">IF(OR(F353="",G353=""),"",F353*G353)</f>
        <v/>
      </c>
      <c r="I353" s="12"/>
      <c r="J353" s="12"/>
    </row>
    <row r="354" customFormat="false" ht="18.75" hidden="false" customHeight="true" outlineLevel="0" collapsed="false">
      <c r="B354" s="13" t="n">
        <v>350</v>
      </c>
      <c r="C354" s="14"/>
      <c r="D354" s="15"/>
      <c r="E354" s="16"/>
      <c r="F354" s="17"/>
      <c r="G354" s="10" t="str">
        <f aca="false">IF(D354="","",IF(D354="EarPods",1500,IF(D354="Button Phone",6000,IF(D354="Memory Card",1000,IF(D354="Charger",1200,IF(D354="Tripod Stand",4500,IF(D354="Selfie Stick",2500,IF(D354="Cables",800,IF(D354="Ringlight",8500,IF(D354="Speakers",5500,IF(D354="Wireless Mic",7000,IF(D354="Mouse",3200,IF(D354="Powerbanks",6000,IF(D354="Smartwatch",10000,""))))))))))))))</f>
        <v/>
      </c>
      <c r="H354" s="11" t="str">
        <f aca="false">IF(OR(F354="",G354=""),"",F354*G354)</f>
        <v/>
      </c>
      <c r="I354" s="18"/>
      <c r="J354" s="18"/>
    </row>
    <row r="355" customFormat="false" ht="18.75" hidden="false" customHeight="true" outlineLevel="0" collapsed="false">
      <c r="B355" s="5" t="n">
        <v>351</v>
      </c>
      <c r="C355" s="6"/>
      <c r="D355" s="7"/>
      <c r="E355" s="8"/>
      <c r="F355" s="9"/>
      <c r="G355" s="10" t="str">
        <f aca="false">IF(D355="","",IF(D355="EarPods",1500,IF(D355="Button Phone",6000,IF(D355="Memory Card",1000,IF(D355="Charger",1200,IF(D355="Tripod Stand",4500,IF(D355="Selfie Stick",2500,IF(D355="Cables",800,IF(D355="Ringlight",8500,IF(D355="Speakers",5500,IF(D355="Wireless Mic",7000,IF(D355="Mouse",3200,IF(D355="Powerbanks",6000,IF(D355="Smartwatch",10000,""))))))))))))))</f>
        <v/>
      </c>
      <c r="H355" s="11" t="str">
        <f aca="false">IF(OR(F355="",G355=""),"",F355*G355)</f>
        <v/>
      </c>
      <c r="I355" s="12"/>
      <c r="J355" s="12"/>
    </row>
    <row r="356" customFormat="false" ht="18.75" hidden="false" customHeight="true" outlineLevel="0" collapsed="false">
      <c r="B356" s="13" t="n">
        <v>352</v>
      </c>
      <c r="C356" s="14"/>
      <c r="D356" s="15"/>
      <c r="E356" s="16"/>
      <c r="F356" s="17"/>
      <c r="G356" s="10" t="str">
        <f aca="false">IF(D356="","",IF(D356="EarPods",1500,IF(D356="Button Phone",6000,IF(D356="Memory Card",1000,IF(D356="Charger",1200,IF(D356="Tripod Stand",4500,IF(D356="Selfie Stick",2500,IF(D356="Cables",800,IF(D356="Ringlight",8500,IF(D356="Speakers",5500,IF(D356="Wireless Mic",7000,IF(D356="Mouse",3200,IF(D356="Powerbanks",6000,IF(D356="Smartwatch",10000,""))))))))))))))</f>
        <v/>
      </c>
      <c r="H356" s="11" t="str">
        <f aca="false">IF(OR(F356="",G356=""),"",F356*G356)</f>
        <v/>
      </c>
      <c r="I356" s="18"/>
      <c r="J356" s="18"/>
    </row>
    <row r="357" customFormat="false" ht="18.75" hidden="false" customHeight="true" outlineLevel="0" collapsed="false">
      <c r="B357" s="5" t="n">
        <v>353</v>
      </c>
      <c r="C357" s="6"/>
      <c r="D357" s="7"/>
      <c r="E357" s="8"/>
      <c r="F357" s="9"/>
      <c r="G357" s="10" t="str">
        <f aca="false">IF(D357="","",IF(D357="EarPods",1500,IF(D357="Button Phone",6000,IF(D357="Memory Card",1000,IF(D357="Charger",1200,IF(D357="Tripod Stand",4500,IF(D357="Selfie Stick",2500,IF(D357="Cables",800,IF(D357="Ringlight",8500,IF(D357="Speakers",5500,IF(D357="Wireless Mic",7000,IF(D357="Mouse",3200,IF(D357="Powerbanks",6000,IF(D357="Smartwatch",10000,""))))))))))))))</f>
        <v/>
      </c>
      <c r="H357" s="11" t="str">
        <f aca="false">IF(OR(F357="",G357=""),"",F357*G357)</f>
        <v/>
      </c>
      <c r="I357" s="12"/>
      <c r="J357" s="12"/>
    </row>
    <row r="358" customFormat="false" ht="18.75" hidden="false" customHeight="true" outlineLevel="0" collapsed="false">
      <c r="B358" s="13" t="n">
        <v>354</v>
      </c>
      <c r="C358" s="14"/>
      <c r="D358" s="15"/>
      <c r="E358" s="16"/>
      <c r="F358" s="17"/>
      <c r="G358" s="10" t="str">
        <f aca="false">IF(D358="","",IF(D358="EarPods",1500,IF(D358="Button Phone",6000,IF(D358="Memory Card",1000,IF(D358="Charger",1200,IF(D358="Tripod Stand",4500,IF(D358="Selfie Stick",2500,IF(D358="Cables",800,IF(D358="Ringlight",8500,IF(D358="Speakers",5500,IF(D358="Wireless Mic",7000,IF(D358="Mouse",3200,IF(D358="Powerbanks",6000,IF(D358="Smartwatch",10000,""))))))))))))))</f>
        <v/>
      </c>
      <c r="H358" s="11" t="str">
        <f aca="false">IF(OR(F358="",G358=""),"",F358*G358)</f>
        <v/>
      </c>
      <c r="I358" s="18"/>
      <c r="J358" s="18"/>
    </row>
    <row r="359" customFormat="false" ht="18.75" hidden="false" customHeight="true" outlineLevel="0" collapsed="false">
      <c r="B359" s="5" t="n">
        <v>355</v>
      </c>
      <c r="C359" s="6"/>
      <c r="D359" s="7"/>
      <c r="E359" s="8"/>
      <c r="F359" s="9"/>
      <c r="G359" s="10" t="str">
        <f aca="false">IF(D359="","",IF(D359="EarPods",1500,IF(D359="Button Phone",6000,IF(D359="Memory Card",1000,IF(D359="Charger",1200,IF(D359="Tripod Stand",4500,IF(D359="Selfie Stick",2500,IF(D359="Cables",800,IF(D359="Ringlight",8500,IF(D359="Speakers",5500,IF(D359="Wireless Mic",7000,IF(D359="Mouse",3200,IF(D359="Powerbanks",6000,IF(D359="Smartwatch",10000,""))))))))))))))</f>
        <v/>
      </c>
      <c r="H359" s="11" t="str">
        <f aca="false">IF(OR(F359="",G359=""),"",F359*G359)</f>
        <v/>
      </c>
      <c r="I359" s="12"/>
      <c r="J359" s="12"/>
    </row>
    <row r="360" customFormat="false" ht="18.75" hidden="false" customHeight="true" outlineLevel="0" collapsed="false">
      <c r="B360" s="13" t="n">
        <v>356</v>
      </c>
      <c r="C360" s="14"/>
      <c r="D360" s="15"/>
      <c r="E360" s="16"/>
      <c r="F360" s="17"/>
      <c r="G360" s="10" t="str">
        <f aca="false">IF(D360="","",IF(D360="EarPods",1500,IF(D360="Button Phone",6000,IF(D360="Memory Card",1000,IF(D360="Charger",1200,IF(D360="Tripod Stand",4500,IF(D360="Selfie Stick",2500,IF(D360="Cables",800,IF(D360="Ringlight",8500,IF(D360="Speakers",5500,IF(D360="Wireless Mic",7000,IF(D360="Mouse",3200,IF(D360="Powerbanks",6000,IF(D360="Smartwatch",10000,""))))))))))))))</f>
        <v/>
      </c>
      <c r="H360" s="11" t="str">
        <f aca="false">IF(OR(F360="",G360=""),"",F360*G360)</f>
        <v/>
      </c>
      <c r="I360" s="18"/>
      <c r="J360" s="18"/>
    </row>
    <row r="361" customFormat="false" ht="18.75" hidden="false" customHeight="true" outlineLevel="0" collapsed="false">
      <c r="B361" s="5" t="n">
        <v>357</v>
      </c>
      <c r="C361" s="6"/>
      <c r="D361" s="7"/>
      <c r="E361" s="8"/>
      <c r="F361" s="9"/>
      <c r="G361" s="10" t="str">
        <f aca="false">IF(D361="","",IF(D361="EarPods",1500,IF(D361="Button Phone",6000,IF(D361="Memory Card",1000,IF(D361="Charger",1200,IF(D361="Tripod Stand",4500,IF(D361="Selfie Stick",2500,IF(D361="Cables",800,IF(D361="Ringlight",8500,IF(D361="Speakers",5500,IF(D361="Wireless Mic",7000,IF(D361="Mouse",3200,IF(D361="Powerbanks",6000,IF(D361="Smartwatch",10000,""))))))))))))))</f>
        <v/>
      </c>
      <c r="H361" s="11" t="str">
        <f aca="false">IF(OR(F361="",G361=""),"",F361*G361)</f>
        <v/>
      </c>
      <c r="I361" s="12"/>
      <c r="J361" s="12"/>
    </row>
    <row r="362" customFormat="false" ht="18.75" hidden="false" customHeight="true" outlineLevel="0" collapsed="false">
      <c r="B362" s="13" t="n">
        <v>358</v>
      </c>
      <c r="C362" s="14"/>
      <c r="D362" s="15"/>
      <c r="E362" s="16"/>
      <c r="F362" s="17"/>
      <c r="G362" s="10" t="str">
        <f aca="false">IF(D362="","",IF(D362="EarPods",1500,IF(D362="Button Phone",6000,IF(D362="Memory Card",1000,IF(D362="Charger",1200,IF(D362="Tripod Stand",4500,IF(D362="Selfie Stick",2500,IF(D362="Cables",800,IF(D362="Ringlight",8500,IF(D362="Speakers",5500,IF(D362="Wireless Mic",7000,IF(D362="Mouse",3200,IF(D362="Powerbanks",6000,IF(D362="Smartwatch",10000,""))))))))))))))</f>
        <v/>
      </c>
      <c r="H362" s="11" t="str">
        <f aca="false">IF(OR(F362="",G362=""),"",F362*G362)</f>
        <v/>
      </c>
      <c r="I362" s="18"/>
      <c r="J362" s="18"/>
    </row>
    <row r="363" customFormat="false" ht="18.75" hidden="false" customHeight="true" outlineLevel="0" collapsed="false">
      <c r="B363" s="5" t="n">
        <v>359</v>
      </c>
      <c r="C363" s="6"/>
      <c r="D363" s="7"/>
      <c r="E363" s="8"/>
      <c r="F363" s="9"/>
      <c r="G363" s="10" t="str">
        <f aca="false">IF(D363="","",IF(D363="EarPods",1500,IF(D363="Button Phone",6000,IF(D363="Memory Card",1000,IF(D363="Charger",1200,IF(D363="Tripod Stand",4500,IF(D363="Selfie Stick",2500,IF(D363="Cables",800,IF(D363="Ringlight",8500,IF(D363="Speakers",5500,IF(D363="Wireless Mic",7000,IF(D363="Mouse",3200,IF(D363="Powerbanks",6000,IF(D363="Smartwatch",10000,""))))))))))))))</f>
        <v/>
      </c>
      <c r="H363" s="11" t="str">
        <f aca="false">IF(OR(F363="",G363=""),"",F363*G363)</f>
        <v/>
      </c>
      <c r="I363" s="12"/>
      <c r="J363" s="12"/>
    </row>
    <row r="364" customFormat="false" ht="18.75" hidden="false" customHeight="true" outlineLevel="0" collapsed="false">
      <c r="B364" s="13" t="n">
        <v>360</v>
      </c>
      <c r="C364" s="14"/>
      <c r="D364" s="15"/>
      <c r="E364" s="16"/>
      <c r="F364" s="17"/>
      <c r="G364" s="10" t="str">
        <f aca="false">IF(D364="","",IF(D364="EarPods",1500,IF(D364="Button Phone",6000,IF(D364="Memory Card",1000,IF(D364="Charger",1200,IF(D364="Tripod Stand",4500,IF(D364="Selfie Stick",2500,IF(D364="Cables",800,IF(D364="Ringlight",8500,IF(D364="Speakers",5500,IF(D364="Wireless Mic",7000,IF(D364="Mouse",3200,IF(D364="Powerbanks",6000,IF(D364="Smartwatch",10000,""))))))))))))))</f>
        <v/>
      </c>
      <c r="H364" s="11" t="str">
        <f aca="false">IF(OR(F364="",G364=""),"",F364*G364)</f>
        <v/>
      </c>
      <c r="I364" s="18"/>
      <c r="J364" s="18"/>
    </row>
    <row r="365" customFormat="false" ht="18.75" hidden="false" customHeight="true" outlineLevel="0" collapsed="false">
      <c r="B365" s="5" t="n">
        <v>361</v>
      </c>
      <c r="C365" s="6"/>
      <c r="D365" s="7"/>
      <c r="E365" s="8"/>
      <c r="F365" s="9"/>
      <c r="G365" s="10" t="str">
        <f aca="false">IF(D365="","",IF(D365="EarPods",1500,IF(D365="Button Phone",6000,IF(D365="Memory Card",1000,IF(D365="Charger",1200,IF(D365="Tripod Stand",4500,IF(D365="Selfie Stick",2500,IF(D365="Cables",800,IF(D365="Ringlight",8500,IF(D365="Speakers",5500,IF(D365="Wireless Mic",7000,IF(D365="Mouse",3200,IF(D365="Powerbanks",6000,IF(D365="Smartwatch",10000,""))))))))))))))</f>
        <v/>
      </c>
      <c r="H365" s="11" t="str">
        <f aca="false">IF(OR(F365="",G365=""),"",F365*G365)</f>
        <v/>
      </c>
      <c r="I365" s="12"/>
      <c r="J365" s="12"/>
    </row>
    <row r="366" customFormat="false" ht="18.75" hidden="false" customHeight="true" outlineLevel="0" collapsed="false">
      <c r="B366" s="13" t="n">
        <v>362</v>
      </c>
      <c r="C366" s="14"/>
      <c r="D366" s="15"/>
      <c r="E366" s="16"/>
      <c r="F366" s="17"/>
      <c r="G366" s="10" t="str">
        <f aca="false">IF(D366="","",IF(D366="EarPods",1500,IF(D366="Button Phone",6000,IF(D366="Memory Card",1000,IF(D366="Charger",1200,IF(D366="Tripod Stand",4500,IF(D366="Selfie Stick",2500,IF(D366="Cables",800,IF(D366="Ringlight",8500,IF(D366="Speakers",5500,IF(D366="Wireless Mic",7000,IF(D366="Mouse",3200,IF(D366="Powerbanks",6000,IF(D366="Smartwatch",10000,""))))))))))))))</f>
        <v/>
      </c>
      <c r="H366" s="11" t="str">
        <f aca="false">IF(OR(F366="",G366=""),"",F366*G366)</f>
        <v/>
      </c>
      <c r="I366" s="18"/>
      <c r="J366" s="18"/>
    </row>
    <row r="367" customFormat="false" ht="18.75" hidden="false" customHeight="true" outlineLevel="0" collapsed="false">
      <c r="B367" s="5" t="n">
        <v>363</v>
      </c>
      <c r="C367" s="6"/>
      <c r="D367" s="7"/>
      <c r="E367" s="8"/>
      <c r="F367" s="9"/>
      <c r="G367" s="10" t="str">
        <f aca="false">IF(D367="","",IF(D367="EarPods",1500,IF(D367="Button Phone",6000,IF(D367="Memory Card",1000,IF(D367="Charger",1200,IF(D367="Tripod Stand",4500,IF(D367="Selfie Stick",2500,IF(D367="Cables",800,IF(D367="Ringlight",8500,IF(D367="Speakers",5500,IF(D367="Wireless Mic",7000,IF(D367="Mouse",3200,IF(D367="Powerbanks",6000,IF(D367="Smartwatch",10000,""))))))))))))))</f>
        <v/>
      </c>
      <c r="H367" s="11" t="str">
        <f aca="false">IF(OR(F367="",G367=""),"",F367*G367)</f>
        <v/>
      </c>
      <c r="I367" s="12"/>
      <c r="J367" s="12"/>
    </row>
    <row r="368" customFormat="false" ht="18.75" hidden="false" customHeight="true" outlineLevel="0" collapsed="false">
      <c r="B368" s="13" t="n">
        <v>364</v>
      </c>
      <c r="C368" s="14"/>
      <c r="D368" s="15"/>
      <c r="E368" s="16"/>
      <c r="F368" s="17"/>
      <c r="G368" s="10" t="str">
        <f aca="false">IF(D368="","",IF(D368="EarPods",1500,IF(D368="Button Phone",6000,IF(D368="Memory Card",1000,IF(D368="Charger",1200,IF(D368="Tripod Stand",4500,IF(D368="Selfie Stick",2500,IF(D368="Cables",800,IF(D368="Ringlight",8500,IF(D368="Speakers",5500,IF(D368="Wireless Mic",7000,IF(D368="Mouse",3200,IF(D368="Powerbanks",6000,IF(D368="Smartwatch",10000,""))))))))))))))</f>
        <v/>
      </c>
      <c r="H368" s="11" t="str">
        <f aca="false">IF(OR(F368="",G368=""),"",F368*G368)</f>
        <v/>
      </c>
      <c r="I368" s="18"/>
      <c r="J368" s="18"/>
    </row>
    <row r="369" customFormat="false" ht="18.75" hidden="false" customHeight="true" outlineLevel="0" collapsed="false">
      <c r="B369" s="5" t="n">
        <v>365</v>
      </c>
      <c r="C369" s="6"/>
      <c r="D369" s="7"/>
      <c r="E369" s="8"/>
      <c r="F369" s="9"/>
      <c r="G369" s="10" t="str">
        <f aca="false">IF(D369="","",IF(D369="EarPods",1500,IF(D369="Button Phone",6000,IF(D369="Memory Card",1000,IF(D369="Charger",1200,IF(D369="Tripod Stand",4500,IF(D369="Selfie Stick",2500,IF(D369="Cables",800,IF(D369="Ringlight",8500,IF(D369="Speakers",5500,IF(D369="Wireless Mic",7000,IF(D369="Mouse",3200,IF(D369="Powerbanks",6000,IF(D369="Smartwatch",10000,""))))))))))))))</f>
        <v/>
      </c>
      <c r="H369" s="11" t="str">
        <f aca="false">IF(OR(F369="",G369=""),"",F369*G369)</f>
        <v/>
      </c>
      <c r="I369" s="12"/>
      <c r="J369" s="12"/>
    </row>
    <row r="370" customFormat="false" ht="18.75" hidden="false" customHeight="true" outlineLevel="0" collapsed="false">
      <c r="B370" s="13" t="n">
        <v>366</v>
      </c>
      <c r="C370" s="14"/>
      <c r="D370" s="15"/>
      <c r="E370" s="16"/>
      <c r="F370" s="17"/>
      <c r="G370" s="10" t="str">
        <f aca="false">IF(D370="","",IF(D370="EarPods",1500,IF(D370="Button Phone",6000,IF(D370="Memory Card",1000,IF(D370="Charger",1200,IF(D370="Tripod Stand",4500,IF(D370="Selfie Stick",2500,IF(D370="Cables",800,IF(D370="Ringlight",8500,IF(D370="Speakers",5500,IF(D370="Wireless Mic",7000,IF(D370="Mouse",3200,IF(D370="Powerbanks",6000,IF(D370="Smartwatch",10000,""))))))))))))))</f>
        <v/>
      </c>
      <c r="H370" s="11" t="str">
        <f aca="false">IF(OR(F370="",G370=""),"",F370*G370)</f>
        <v/>
      </c>
      <c r="I370" s="18"/>
      <c r="J370" s="18"/>
    </row>
    <row r="371" customFormat="false" ht="18.75" hidden="false" customHeight="true" outlineLevel="0" collapsed="false">
      <c r="B371" s="5" t="n">
        <v>367</v>
      </c>
      <c r="C371" s="6"/>
      <c r="D371" s="7"/>
      <c r="E371" s="8"/>
      <c r="F371" s="9"/>
      <c r="G371" s="10" t="str">
        <f aca="false">IF(D371="","",IF(D371="EarPods",1500,IF(D371="Button Phone",6000,IF(D371="Memory Card",1000,IF(D371="Charger",1200,IF(D371="Tripod Stand",4500,IF(D371="Selfie Stick",2500,IF(D371="Cables",800,IF(D371="Ringlight",8500,IF(D371="Speakers",5500,IF(D371="Wireless Mic",7000,IF(D371="Mouse",3200,IF(D371="Powerbanks",6000,IF(D371="Smartwatch",10000,""))))))))))))))</f>
        <v/>
      </c>
      <c r="H371" s="11" t="str">
        <f aca="false">IF(OR(F371="",G371=""),"",F371*G371)</f>
        <v/>
      </c>
      <c r="I371" s="12"/>
      <c r="J371" s="12"/>
    </row>
    <row r="372" customFormat="false" ht="18.75" hidden="false" customHeight="true" outlineLevel="0" collapsed="false">
      <c r="B372" s="13" t="n">
        <v>368</v>
      </c>
      <c r="C372" s="14"/>
      <c r="D372" s="15"/>
      <c r="E372" s="16"/>
      <c r="F372" s="17"/>
      <c r="G372" s="10" t="str">
        <f aca="false">IF(D372="","",IF(D372="EarPods",1500,IF(D372="Button Phone",6000,IF(D372="Memory Card",1000,IF(D372="Charger",1200,IF(D372="Tripod Stand",4500,IF(D372="Selfie Stick",2500,IF(D372="Cables",800,IF(D372="Ringlight",8500,IF(D372="Speakers",5500,IF(D372="Wireless Mic",7000,IF(D372="Mouse",3200,IF(D372="Powerbanks",6000,IF(D372="Smartwatch",10000,""))))))))))))))</f>
        <v/>
      </c>
      <c r="H372" s="11" t="str">
        <f aca="false">IF(OR(F372="",G372=""),"",F372*G372)</f>
        <v/>
      </c>
      <c r="I372" s="18"/>
      <c r="J372" s="18"/>
    </row>
    <row r="373" customFormat="false" ht="18.75" hidden="false" customHeight="true" outlineLevel="0" collapsed="false">
      <c r="B373" s="5" t="n">
        <v>369</v>
      </c>
      <c r="C373" s="6"/>
      <c r="D373" s="7"/>
      <c r="E373" s="8"/>
      <c r="F373" s="9"/>
      <c r="G373" s="10" t="str">
        <f aca="false">IF(D373="","",IF(D373="EarPods",1500,IF(D373="Button Phone",6000,IF(D373="Memory Card",1000,IF(D373="Charger",1200,IF(D373="Tripod Stand",4500,IF(D373="Selfie Stick",2500,IF(D373="Cables",800,IF(D373="Ringlight",8500,IF(D373="Speakers",5500,IF(D373="Wireless Mic",7000,IF(D373="Mouse",3200,IF(D373="Powerbanks",6000,IF(D373="Smartwatch",10000,""))))))))))))))</f>
        <v/>
      </c>
      <c r="H373" s="11" t="str">
        <f aca="false">IF(OR(F373="",G373=""),"",F373*G373)</f>
        <v/>
      </c>
      <c r="I373" s="12"/>
      <c r="J373" s="12"/>
    </row>
    <row r="374" customFormat="false" ht="18.75" hidden="false" customHeight="true" outlineLevel="0" collapsed="false">
      <c r="B374" s="13" t="n">
        <v>370</v>
      </c>
      <c r="C374" s="14"/>
      <c r="D374" s="15"/>
      <c r="E374" s="16"/>
      <c r="F374" s="17"/>
      <c r="G374" s="10" t="str">
        <f aca="false">IF(D374="","",IF(D374="EarPods",1500,IF(D374="Button Phone",6000,IF(D374="Memory Card",1000,IF(D374="Charger",1200,IF(D374="Tripod Stand",4500,IF(D374="Selfie Stick",2500,IF(D374="Cables",800,IF(D374="Ringlight",8500,IF(D374="Speakers",5500,IF(D374="Wireless Mic",7000,IF(D374="Mouse",3200,IF(D374="Powerbanks",6000,IF(D374="Smartwatch",10000,""))))))))))))))</f>
        <v/>
      </c>
      <c r="H374" s="11" t="str">
        <f aca="false">IF(OR(F374="",G374=""),"",F374*G374)</f>
        <v/>
      </c>
      <c r="I374" s="18"/>
      <c r="J374" s="18"/>
    </row>
    <row r="375" customFormat="false" ht="18.75" hidden="false" customHeight="true" outlineLevel="0" collapsed="false">
      <c r="B375" s="5" t="n">
        <v>371</v>
      </c>
      <c r="C375" s="6"/>
      <c r="D375" s="7"/>
      <c r="E375" s="8"/>
      <c r="F375" s="9"/>
      <c r="G375" s="10" t="str">
        <f aca="false">IF(D375="","",IF(D375="EarPods",1500,IF(D375="Button Phone",6000,IF(D375="Memory Card",1000,IF(D375="Charger",1200,IF(D375="Tripod Stand",4500,IF(D375="Selfie Stick",2500,IF(D375="Cables",800,IF(D375="Ringlight",8500,IF(D375="Speakers",5500,IF(D375="Wireless Mic",7000,IF(D375="Mouse",3200,IF(D375="Powerbanks",6000,IF(D375="Smartwatch",10000,""))))))))))))))</f>
        <v/>
      </c>
      <c r="H375" s="11" t="str">
        <f aca="false">IF(OR(F375="",G375=""),"",F375*G375)</f>
        <v/>
      </c>
      <c r="I375" s="12"/>
      <c r="J375" s="12"/>
    </row>
    <row r="376" customFormat="false" ht="18.75" hidden="false" customHeight="true" outlineLevel="0" collapsed="false">
      <c r="B376" s="13" t="n">
        <v>372</v>
      </c>
      <c r="C376" s="14"/>
      <c r="D376" s="15"/>
      <c r="E376" s="16"/>
      <c r="F376" s="17"/>
      <c r="G376" s="10" t="str">
        <f aca="false">IF(D376="","",IF(D376="EarPods",1500,IF(D376="Button Phone",6000,IF(D376="Memory Card",1000,IF(D376="Charger",1200,IF(D376="Tripod Stand",4500,IF(D376="Selfie Stick",2500,IF(D376="Cables",800,IF(D376="Ringlight",8500,IF(D376="Speakers",5500,IF(D376="Wireless Mic",7000,IF(D376="Mouse",3200,IF(D376="Powerbanks",6000,IF(D376="Smartwatch",10000,""))))))))))))))</f>
        <v/>
      </c>
      <c r="H376" s="11" t="str">
        <f aca="false">IF(OR(F376="",G376=""),"",F376*G376)</f>
        <v/>
      </c>
      <c r="I376" s="18"/>
      <c r="J376" s="18"/>
    </row>
    <row r="377" customFormat="false" ht="18.75" hidden="false" customHeight="true" outlineLevel="0" collapsed="false">
      <c r="B377" s="5" t="n">
        <v>373</v>
      </c>
      <c r="C377" s="6"/>
      <c r="D377" s="7"/>
      <c r="E377" s="8"/>
      <c r="F377" s="9"/>
      <c r="G377" s="10" t="str">
        <f aca="false">IF(D377="","",IF(D377="EarPods",1500,IF(D377="Button Phone",6000,IF(D377="Memory Card",1000,IF(D377="Charger",1200,IF(D377="Tripod Stand",4500,IF(D377="Selfie Stick",2500,IF(D377="Cables",800,IF(D377="Ringlight",8500,IF(D377="Speakers",5500,IF(D377="Wireless Mic",7000,IF(D377="Mouse",3200,IF(D377="Powerbanks",6000,IF(D377="Smartwatch",10000,""))))))))))))))</f>
        <v/>
      </c>
      <c r="H377" s="11" t="str">
        <f aca="false">IF(OR(F377="",G377=""),"",F377*G377)</f>
        <v/>
      </c>
      <c r="I377" s="12"/>
      <c r="J377" s="12"/>
    </row>
    <row r="378" customFormat="false" ht="18.75" hidden="false" customHeight="true" outlineLevel="0" collapsed="false">
      <c r="B378" s="13" t="n">
        <v>374</v>
      </c>
      <c r="C378" s="14"/>
      <c r="D378" s="15"/>
      <c r="E378" s="16"/>
      <c r="F378" s="17"/>
      <c r="G378" s="10" t="str">
        <f aca="false">IF(D378="","",IF(D378="EarPods",1500,IF(D378="Button Phone",6000,IF(D378="Memory Card",1000,IF(D378="Charger",1200,IF(D378="Tripod Stand",4500,IF(D378="Selfie Stick",2500,IF(D378="Cables",800,IF(D378="Ringlight",8500,IF(D378="Speakers",5500,IF(D378="Wireless Mic",7000,IF(D378="Mouse",3200,IF(D378="Powerbanks",6000,IF(D378="Smartwatch",10000,""))))))))))))))</f>
        <v/>
      </c>
      <c r="H378" s="11" t="str">
        <f aca="false">IF(OR(F378="",G378=""),"",F378*G378)</f>
        <v/>
      </c>
      <c r="I378" s="18"/>
      <c r="J378" s="18"/>
    </row>
    <row r="379" customFormat="false" ht="18.75" hidden="false" customHeight="true" outlineLevel="0" collapsed="false">
      <c r="B379" s="5" t="n">
        <v>375</v>
      </c>
      <c r="C379" s="6"/>
      <c r="D379" s="7"/>
      <c r="E379" s="8"/>
      <c r="F379" s="9"/>
      <c r="G379" s="10" t="str">
        <f aca="false">IF(D379="","",IF(D379="EarPods",1500,IF(D379="Button Phone",6000,IF(D379="Memory Card",1000,IF(D379="Charger",1200,IF(D379="Tripod Stand",4500,IF(D379="Selfie Stick",2500,IF(D379="Cables",800,IF(D379="Ringlight",8500,IF(D379="Speakers",5500,IF(D379="Wireless Mic",7000,IF(D379="Mouse",3200,IF(D379="Powerbanks",6000,IF(D379="Smartwatch",10000,""))))))))))))))</f>
        <v/>
      </c>
      <c r="H379" s="11" t="str">
        <f aca="false">IF(OR(F379="",G379=""),"",F379*G379)</f>
        <v/>
      </c>
      <c r="I379" s="12"/>
      <c r="J379" s="12"/>
    </row>
    <row r="380" customFormat="false" ht="18.75" hidden="false" customHeight="true" outlineLevel="0" collapsed="false">
      <c r="B380" s="13" t="n">
        <v>376</v>
      </c>
      <c r="C380" s="14"/>
      <c r="D380" s="15"/>
      <c r="E380" s="16"/>
      <c r="F380" s="17"/>
      <c r="G380" s="10" t="str">
        <f aca="false">IF(D380="","",IF(D380="EarPods",1500,IF(D380="Button Phone",6000,IF(D380="Memory Card",1000,IF(D380="Charger",1200,IF(D380="Tripod Stand",4500,IF(D380="Selfie Stick",2500,IF(D380="Cables",800,IF(D380="Ringlight",8500,IF(D380="Speakers",5500,IF(D380="Wireless Mic",7000,IF(D380="Mouse",3200,IF(D380="Powerbanks",6000,IF(D380="Smartwatch",10000,""))))))))))))))</f>
        <v/>
      </c>
      <c r="H380" s="11" t="str">
        <f aca="false">IF(OR(F380="",G380=""),"",F380*G380)</f>
        <v/>
      </c>
      <c r="I380" s="18"/>
      <c r="J380" s="18"/>
    </row>
    <row r="381" customFormat="false" ht="18.75" hidden="false" customHeight="true" outlineLevel="0" collapsed="false">
      <c r="B381" s="5" t="n">
        <v>377</v>
      </c>
      <c r="C381" s="6"/>
      <c r="D381" s="7"/>
      <c r="E381" s="8"/>
      <c r="F381" s="9"/>
      <c r="G381" s="10" t="str">
        <f aca="false">IF(D381="","",IF(D381="EarPods",1500,IF(D381="Button Phone",6000,IF(D381="Memory Card",1000,IF(D381="Charger",1200,IF(D381="Tripod Stand",4500,IF(D381="Selfie Stick",2500,IF(D381="Cables",800,IF(D381="Ringlight",8500,IF(D381="Speakers",5500,IF(D381="Wireless Mic",7000,IF(D381="Mouse",3200,IF(D381="Powerbanks",6000,IF(D381="Smartwatch",10000,""))))))))))))))</f>
        <v/>
      </c>
      <c r="H381" s="11" t="str">
        <f aca="false">IF(OR(F381="",G381=""),"",F381*G381)</f>
        <v/>
      </c>
      <c r="I381" s="12"/>
      <c r="J381" s="12"/>
    </row>
    <row r="382" customFormat="false" ht="18.75" hidden="false" customHeight="true" outlineLevel="0" collapsed="false">
      <c r="B382" s="13" t="n">
        <v>378</v>
      </c>
      <c r="C382" s="14"/>
      <c r="D382" s="15"/>
      <c r="E382" s="16"/>
      <c r="F382" s="17"/>
      <c r="G382" s="10" t="str">
        <f aca="false">IF(D382="","",IF(D382="EarPods",1500,IF(D382="Button Phone",6000,IF(D382="Memory Card",1000,IF(D382="Charger",1200,IF(D382="Tripod Stand",4500,IF(D382="Selfie Stick",2500,IF(D382="Cables",800,IF(D382="Ringlight",8500,IF(D382="Speakers",5500,IF(D382="Wireless Mic",7000,IF(D382="Mouse",3200,IF(D382="Powerbanks",6000,IF(D382="Smartwatch",10000,""))))))))))))))</f>
        <v/>
      </c>
      <c r="H382" s="11" t="str">
        <f aca="false">IF(OR(F382="",G382=""),"",F382*G382)</f>
        <v/>
      </c>
      <c r="I382" s="18"/>
      <c r="J382" s="18"/>
    </row>
    <row r="383" customFormat="false" ht="18.75" hidden="false" customHeight="true" outlineLevel="0" collapsed="false">
      <c r="B383" s="5" t="n">
        <v>379</v>
      </c>
      <c r="C383" s="6"/>
      <c r="D383" s="7"/>
      <c r="E383" s="8"/>
      <c r="F383" s="9"/>
      <c r="G383" s="10" t="str">
        <f aca="false">IF(D383="","",IF(D383="EarPods",1500,IF(D383="Button Phone",6000,IF(D383="Memory Card",1000,IF(D383="Charger",1200,IF(D383="Tripod Stand",4500,IF(D383="Selfie Stick",2500,IF(D383="Cables",800,IF(D383="Ringlight",8500,IF(D383="Speakers",5500,IF(D383="Wireless Mic",7000,IF(D383="Mouse",3200,IF(D383="Powerbanks",6000,IF(D383="Smartwatch",10000,""))))))))))))))</f>
        <v/>
      </c>
      <c r="H383" s="11" t="str">
        <f aca="false">IF(OR(F383="",G383=""),"",F383*G383)</f>
        <v/>
      </c>
      <c r="I383" s="12"/>
      <c r="J383" s="12"/>
    </row>
    <row r="384" customFormat="false" ht="18.75" hidden="false" customHeight="true" outlineLevel="0" collapsed="false">
      <c r="B384" s="13" t="n">
        <v>380</v>
      </c>
      <c r="C384" s="14"/>
      <c r="D384" s="15"/>
      <c r="E384" s="16"/>
      <c r="F384" s="17"/>
      <c r="G384" s="10" t="str">
        <f aca="false">IF(D384="","",IF(D384="EarPods",1500,IF(D384="Button Phone",6000,IF(D384="Memory Card",1000,IF(D384="Charger",1200,IF(D384="Tripod Stand",4500,IF(D384="Selfie Stick",2500,IF(D384="Cables",800,IF(D384="Ringlight",8500,IF(D384="Speakers",5500,IF(D384="Wireless Mic",7000,IF(D384="Mouse",3200,IF(D384="Powerbanks",6000,IF(D384="Smartwatch",10000,""))))))))))))))</f>
        <v/>
      </c>
      <c r="H384" s="11" t="str">
        <f aca="false">IF(OR(F384="",G384=""),"",F384*G384)</f>
        <v/>
      </c>
      <c r="I384" s="18"/>
      <c r="J384" s="18"/>
    </row>
    <row r="385" customFormat="false" ht="18.75" hidden="false" customHeight="true" outlineLevel="0" collapsed="false">
      <c r="B385" s="5" t="n">
        <v>381</v>
      </c>
      <c r="C385" s="6"/>
      <c r="D385" s="7"/>
      <c r="E385" s="8"/>
      <c r="F385" s="9"/>
      <c r="G385" s="10" t="str">
        <f aca="false">IF(D385="","",IF(D385="EarPods",1500,IF(D385="Button Phone",6000,IF(D385="Memory Card",1000,IF(D385="Charger",1200,IF(D385="Tripod Stand",4500,IF(D385="Selfie Stick",2500,IF(D385="Cables",800,IF(D385="Ringlight",8500,IF(D385="Speakers",5500,IF(D385="Wireless Mic",7000,IF(D385="Mouse",3200,IF(D385="Powerbanks",6000,IF(D385="Smartwatch",10000,""))))))))))))))</f>
        <v/>
      </c>
      <c r="H385" s="11" t="str">
        <f aca="false">IF(OR(F385="",G385=""),"",F385*G385)</f>
        <v/>
      </c>
      <c r="I385" s="12"/>
      <c r="J385" s="12"/>
    </row>
    <row r="386" customFormat="false" ht="18.75" hidden="false" customHeight="true" outlineLevel="0" collapsed="false">
      <c r="B386" s="13" t="n">
        <v>382</v>
      </c>
      <c r="C386" s="14"/>
      <c r="D386" s="15"/>
      <c r="E386" s="16"/>
      <c r="F386" s="17"/>
      <c r="G386" s="10" t="str">
        <f aca="false">IF(D386="","",IF(D386="EarPods",1500,IF(D386="Button Phone",6000,IF(D386="Memory Card",1000,IF(D386="Charger",1200,IF(D386="Tripod Stand",4500,IF(D386="Selfie Stick",2500,IF(D386="Cables",800,IF(D386="Ringlight",8500,IF(D386="Speakers",5500,IF(D386="Wireless Mic",7000,IF(D386="Mouse",3200,IF(D386="Powerbanks",6000,IF(D386="Smartwatch",10000,""))))))))))))))</f>
        <v/>
      </c>
      <c r="H386" s="11" t="str">
        <f aca="false">IF(OR(F386="",G386=""),"",F386*G386)</f>
        <v/>
      </c>
      <c r="I386" s="18"/>
      <c r="J386" s="18"/>
    </row>
    <row r="387" customFormat="false" ht="18.75" hidden="false" customHeight="true" outlineLevel="0" collapsed="false">
      <c r="B387" s="5" t="n">
        <v>383</v>
      </c>
      <c r="C387" s="6"/>
      <c r="D387" s="7"/>
      <c r="E387" s="8"/>
      <c r="F387" s="9"/>
      <c r="G387" s="10" t="str">
        <f aca="false">IF(D387="","",IF(D387="EarPods",1500,IF(D387="Button Phone",6000,IF(D387="Memory Card",1000,IF(D387="Charger",1200,IF(D387="Tripod Stand",4500,IF(D387="Selfie Stick",2500,IF(D387="Cables",800,IF(D387="Ringlight",8500,IF(D387="Speakers",5500,IF(D387="Wireless Mic",7000,IF(D387="Mouse",3200,IF(D387="Powerbanks",6000,IF(D387="Smartwatch",10000,""))))))))))))))</f>
        <v/>
      </c>
      <c r="H387" s="11" t="str">
        <f aca="false">IF(OR(F387="",G387=""),"",F387*G387)</f>
        <v/>
      </c>
      <c r="I387" s="12"/>
      <c r="J387" s="12"/>
    </row>
    <row r="388" customFormat="false" ht="18.75" hidden="false" customHeight="true" outlineLevel="0" collapsed="false">
      <c r="B388" s="13" t="n">
        <v>384</v>
      </c>
      <c r="C388" s="14"/>
      <c r="D388" s="15"/>
      <c r="E388" s="16"/>
      <c r="F388" s="17"/>
      <c r="G388" s="10" t="str">
        <f aca="false">IF(D388="","",IF(D388="EarPods",1500,IF(D388="Button Phone",6000,IF(D388="Memory Card",1000,IF(D388="Charger",1200,IF(D388="Tripod Stand",4500,IF(D388="Selfie Stick",2500,IF(D388="Cables",800,IF(D388="Ringlight",8500,IF(D388="Speakers",5500,IF(D388="Wireless Mic",7000,IF(D388="Mouse",3200,IF(D388="Powerbanks",6000,IF(D388="Smartwatch",10000,""))))))))))))))</f>
        <v/>
      </c>
      <c r="H388" s="11" t="str">
        <f aca="false">IF(OR(F388="",G388=""),"",F388*G388)</f>
        <v/>
      </c>
      <c r="I388" s="18"/>
      <c r="J388" s="18"/>
    </row>
    <row r="389" customFormat="false" ht="18.75" hidden="false" customHeight="true" outlineLevel="0" collapsed="false">
      <c r="B389" s="5" t="n">
        <v>385</v>
      </c>
      <c r="C389" s="6"/>
      <c r="D389" s="7"/>
      <c r="E389" s="8"/>
      <c r="F389" s="9"/>
      <c r="G389" s="10" t="str">
        <f aca="false">IF(D389="","",IF(D389="EarPods",1500,IF(D389="Button Phone",6000,IF(D389="Memory Card",1000,IF(D389="Charger",1200,IF(D389="Tripod Stand",4500,IF(D389="Selfie Stick",2500,IF(D389="Cables",800,IF(D389="Ringlight",8500,IF(D389="Speakers",5500,IF(D389="Wireless Mic",7000,IF(D389="Mouse",3200,IF(D389="Powerbanks",6000,IF(D389="Smartwatch",10000,""))))))))))))))</f>
        <v/>
      </c>
      <c r="H389" s="11" t="str">
        <f aca="false">IF(OR(F389="",G389=""),"",F389*G389)</f>
        <v/>
      </c>
      <c r="I389" s="12"/>
      <c r="J389" s="12"/>
    </row>
    <row r="390" customFormat="false" ht="18.75" hidden="false" customHeight="true" outlineLevel="0" collapsed="false">
      <c r="B390" s="13" t="n">
        <v>386</v>
      </c>
      <c r="C390" s="14"/>
      <c r="D390" s="15"/>
      <c r="E390" s="16"/>
      <c r="F390" s="17"/>
      <c r="G390" s="10" t="str">
        <f aca="false">IF(D390="","",IF(D390="EarPods",1500,IF(D390="Button Phone",6000,IF(D390="Memory Card",1000,IF(D390="Charger",1200,IF(D390="Tripod Stand",4500,IF(D390="Selfie Stick",2500,IF(D390="Cables",800,IF(D390="Ringlight",8500,IF(D390="Speakers",5500,IF(D390="Wireless Mic",7000,IF(D390="Mouse",3200,IF(D390="Powerbanks",6000,IF(D390="Smartwatch",10000,""))))))))))))))</f>
        <v/>
      </c>
      <c r="H390" s="11" t="str">
        <f aca="false">IF(OR(F390="",G390=""),"",F390*G390)</f>
        <v/>
      </c>
      <c r="I390" s="18"/>
      <c r="J390" s="18"/>
    </row>
    <row r="391" customFormat="false" ht="18.75" hidden="false" customHeight="true" outlineLevel="0" collapsed="false">
      <c r="B391" s="5" t="n">
        <v>387</v>
      </c>
      <c r="C391" s="6"/>
      <c r="D391" s="7"/>
      <c r="E391" s="8"/>
      <c r="F391" s="9"/>
      <c r="G391" s="10" t="str">
        <f aca="false">IF(D391="","",IF(D391="EarPods",1500,IF(D391="Button Phone",6000,IF(D391="Memory Card",1000,IF(D391="Charger",1200,IF(D391="Tripod Stand",4500,IF(D391="Selfie Stick",2500,IF(D391="Cables",800,IF(D391="Ringlight",8500,IF(D391="Speakers",5500,IF(D391="Wireless Mic",7000,IF(D391="Mouse",3200,IF(D391="Powerbanks",6000,IF(D391="Smartwatch",10000,""))))))))))))))</f>
        <v/>
      </c>
      <c r="H391" s="11" t="str">
        <f aca="false">IF(OR(F391="",G391=""),"",F391*G391)</f>
        <v/>
      </c>
      <c r="I391" s="12"/>
      <c r="J391" s="12"/>
    </row>
    <row r="392" customFormat="false" ht="18.75" hidden="false" customHeight="true" outlineLevel="0" collapsed="false">
      <c r="B392" s="13" t="n">
        <v>388</v>
      </c>
      <c r="C392" s="14"/>
      <c r="D392" s="15"/>
      <c r="E392" s="16"/>
      <c r="F392" s="17"/>
      <c r="G392" s="10" t="str">
        <f aca="false">IF(D392="","",IF(D392="EarPods",1500,IF(D392="Button Phone",6000,IF(D392="Memory Card",1000,IF(D392="Charger",1200,IF(D392="Tripod Stand",4500,IF(D392="Selfie Stick",2500,IF(D392="Cables",800,IF(D392="Ringlight",8500,IF(D392="Speakers",5500,IF(D392="Wireless Mic",7000,IF(D392="Mouse",3200,IF(D392="Powerbanks",6000,IF(D392="Smartwatch",10000,""))))))))))))))</f>
        <v/>
      </c>
      <c r="H392" s="11" t="str">
        <f aca="false">IF(OR(F392="",G392=""),"",F392*G392)</f>
        <v/>
      </c>
      <c r="I392" s="18"/>
      <c r="J392" s="18"/>
    </row>
    <row r="393" customFormat="false" ht="18.75" hidden="false" customHeight="true" outlineLevel="0" collapsed="false">
      <c r="B393" s="5" t="n">
        <v>389</v>
      </c>
      <c r="C393" s="6"/>
      <c r="D393" s="7"/>
      <c r="E393" s="8"/>
      <c r="F393" s="9"/>
      <c r="G393" s="10" t="str">
        <f aca="false">IF(D393="","",IF(D393="EarPods",1500,IF(D393="Button Phone",6000,IF(D393="Memory Card",1000,IF(D393="Charger",1200,IF(D393="Tripod Stand",4500,IF(D393="Selfie Stick",2500,IF(D393="Cables",800,IF(D393="Ringlight",8500,IF(D393="Speakers",5500,IF(D393="Wireless Mic",7000,IF(D393="Mouse",3200,IF(D393="Powerbanks",6000,IF(D393="Smartwatch",10000,""))))))))))))))</f>
        <v/>
      </c>
      <c r="H393" s="11" t="str">
        <f aca="false">IF(OR(F393="",G393=""),"",F393*G393)</f>
        <v/>
      </c>
      <c r="I393" s="12"/>
      <c r="J393" s="12"/>
    </row>
    <row r="394" customFormat="false" ht="18.75" hidden="false" customHeight="true" outlineLevel="0" collapsed="false">
      <c r="B394" s="13" t="n">
        <v>390</v>
      </c>
      <c r="C394" s="14"/>
      <c r="D394" s="15"/>
      <c r="E394" s="16"/>
      <c r="F394" s="17"/>
      <c r="G394" s="10" t="str">
        <f aca="false">IF(D394="","",IF(D394="EarPods",1500,IF(D394="Button Phone",6000,IF(D394="Memory Card",1000,IF(D394="Charger",1200,IF(D394="Tripod Stand",4500,IF(D394="Selfie Stick",2500,IF(D394="Cables",800,IF(D394="Ringlight",8500,IF(D394="Speakers",5500,IF(D394="Wireless Mic",7000,IF(D394="Mouse",3200,IF(D394="Powerbanks",6000,IF(D394="Smartwatch",10000,""))))))))))))))</f>
        <v/>
      </c>
      <c r="H394" s="11" t="str">
        <f aca="false">IF(OR(F394="",G394=""),"",F394*G394)</f>
        <v/>
      </c>
      <c r="I394" s="18"/>
      <c r="J394" s="18"/>
    </row>
    <row r="395" customFormat="false" ht="18.75" hidden="false" customHeight="true" outlineLevel="0" collapsed="false">
      <c r="B395" s="5" t="n">
        <v>391</v>
      </c>
      <c r="C395" s="6"/>
      <c r="D395" s="7"/>
      <c r="E395" s="8"/>
      <c r="F395" s="9"/>
      <c r="G395" s="10" t="str">
        <f aca="false">IF(D395="","",IF(D395="EarPods",1500,IF(D395="Button Phone",6000,IF(D395="Memory Card",1000,IF(D395="Charger",1200,IF(D395="Tripod Stand",4500,IF(D395="Selfie Stick",2500,IF(D395="Cables",800,IF(D395="Ringlight",8500,IF(D395="Speakers",5500,IF(D395="Wireless Mic",7000,IF(D395="Mouse",3200,IF(D395="Powerbanks",6000,IF(D395="Smartwatch",10000,""))))))))))))))</f>
        <v/>
      </c>
      <c r="H395" s="11" t="str">
        <f aca="false">IF(OR(F395="",G395=""),"",F395*G395)</f>
        <v/>
      </c>
      <c r="I395" s="12"/>
      <c r="J395" s="12"/>
    </row>
    <row r="396" customFormat="false" ht="18.75" hidden="false" customHeight="true" outlineLevel="0" collapsed="false">
      <c r="B396" s="13" t="n">
        <v>392</v>
      </c>
      <c r="C396" s="14"/>
      <c r="D396" s="15"/>
      <c r="E396" s="16"/>
      <c r="F396" s="17"/>
      <c r="G396" s="10" t="str">
        <f aca="false">IF(D396="","",IF(D396="EarPods",1500,IF(D396="Button Phone",6000,IF(D396="Memory Card",1000,IF(D396="Charger",1200,IF(D396="Tripod Stand",4500,IF(D396="Selfie Stick",2500,IF(D396="Cables",800,IF(D396="Ringlight",8500,IF(D396="Speakers",5500,IF(D396="Wireless Mic",7000,IF(D396="Mouse",3200,IF(D396="Powerbanks",6000,IF(D396="Smartwatch",10000,""))))))))))))))</f>
        <v/>
      </c>
      <c r="H396" s="11" t="str">
        <f aca="false">IF(OR(F396="",G396=""),"",F396*G396)</f>
        <v/>
      </c>
      <c r="I396" s="18"/>
      <c r="J396" s="18"/>
    </row>
    <row r="397" customFormat="false" ht="18.75" hidden="false" customHeight="true" outlineLevel="0" collapsed="false">
      <c r="B397" s="5" t="n">
        <v>393</v>
      </c>
      <c r="C397" s="6"/>
      <c r="D397" s="7"/>
      <c r="E397" s="8"/>
      <c r="F397" s="9"/>
      <c r="G397" s="10" t="str">
        <f aca="false">IF(D397="","",IF(D397="EarPods",1500,IF(D397="Button Phone",6000,IF(D397="Memory Card",1000,IF(D397="Charger",1200,IF(D397="Tripod Stand",4500,IF(D397="Selfie Stick",2500,IF(D397="Cables",800,IF(D397="Ringlight",8500,IF(D397="Speakers",5500,IF(D397="Wireless Mic",7000,IF(D397="Mouse",3200,IF(D397="Powerbanks",6000,IF(D397="Smartwatch",10000,""))))))))))))))</f>
        <v/>
      </c>
      <c r="H397" s="11" t="str">
        <f aca="false">IF(OR(F397="",G397=""),"",F397*G397)</f>
        <v/>
      </c>
      <c r="I397" s="12"/>
      <c r="J397" s="12"/>
    </row>
    <row r="398" customFormat="false" ht="18.75" hidden="false" customHeight="true" outlineLevel="0" collapsed="false">
      <c r="B398" s="13" t="n">
        <v>394</v>
      </c>
      <c r="C398" s="14"/>
      <c r="D398" s="15"/>
      <c r="E398" s="16"/>
      <c r="F398" s="17"/>
      <c r="G398" s="10" t="str">
        <f aca="false">IF(D398="","",IF(D398="EarPods",1500,IF(D398="Button Phone",6000,IF(D398="Memory Card",1000,IF(D398="Charger",1200,IF(D398="Tripod Stand",4500,IF(D398="Selfie Stick",2500,IF(D398="Cables",800,IF(D398="Ringlight",8500,IF(D398="Speakers",5500,IF(D398="Wireless Mic",7000,IF(D398="Mouse",3200,IF(D398="Powerbanks",6000,IF(D398="Smartwatch",10000,""))))))))))))))</f>
        <v/>
      </c>
      <c r="H398" s="11" t="str">
        <f aca="false">IF(OR(F398="",G398=""),"",F398*G398)</f>
        <v/>
      </c>
      <c r="I398" s="18"/>
      <c r="J398" s="18"/>
    </row>
    <row r="399" customFormat="false" ht="18.75" hidden="false" customHeight="true" outlineLevel="0" collapsed="false">
      <c r="B399" s="5" t="n">
        <v>395</v>
      </c>
      <c r="C399" s="6"/>
      <c r="D399" s="7"/>
      <c r="E399" s="8"/>
      <c r="F399" s="9"/>
      <c r="G399" s="10" t="str">
        <f aca="false">IF(D399="","",IF(D399="EarPods",1500,IF(D399="Button Phone",6000,IF(D399="Memory Card",1000,IF(D399="Charger",1200,IF(D399="Tripod Stand",4500,IF(D399="Selfie Stick",2500,IF(D399="Cables",800,IF(D399="Ringlight",8500,IF(D399="Speakers",5500,IF(D399="Wireless Mic",7000,IF(D399="Mouse",3200,IF(D399="Powerbanks",6000,IF(D399="Smartwatch",10000,""))))))))))))))</f>
        <v/>
      </c>
      <c r="H399" s="11" t="str">
        <f aca="false">IF(OR(F399="",G399=""),"",F399*G399)</f>
        <v/>
      </c>
      <c r="I399" s="12"/>
      <c r="J399" s="12"/>
    </row>
    <row r="400" customFormat="false" ht="18.75" hidden="false" customHeight="true" outlineLevel="0" collapsed="false">
      <c r="B400" s="13" t="n">
        <v>396</v>
      </c>
      <c r="C400" s="14"/>
      <c r="D400" s="15"/>
      <c r="E400" s="16"/>
      <c r="F400" s="17"/>
      <c r="G400" s="10" t="str">
        <f aca="false">IF(D400="","",IF(D400="EarPods",1500,IF(D400="Button Phone",6000,IF(D400="Memory Card",1000,IF(D400="Charger",1200,IF(D400="Tripod Stand",4500,IF(D400="Selfie Stick",2500,IF(D400="Cables",800,IF(D400="Ringlight",8500,IF(D400="Speakers",5500,IF(D400="Wireless Mic",7000,IF(D400="Mouse",3200,IF(D400="Powerbanks",6000,IF(D400="Smartwatch",10000,""))))))))))))))</f>
        <v/>
      </c>
      <c r="H400" s="11" t="str">
        <f aca="false">IF(OR(F400="",G400=""),"",F400*G400)</f>
        <v/>
      </c>
      <c r="I400" s="18"/>
      <c r="J400" s="18"/>
    </row>
    <row r="401" customFormat="false" ht="18.75" hidden="false" customHeight="true" outlineLevel="0" collapsed="false">
      <c r="B401" s="5" t="n">
        <v>397</v>
      </c>
      <c r="C401" s="6"/>
      <c r="D401" s="7"/>
      <c r="E401" s="8"/>
      <c r="F401" s="9"/>
      <c r="G401" s="10" t="str">
        <f aca="false">IF(D401="","",IF(D401="EarPods",1500,IF(D401="Button Phone",6000,IF(D401="Memory Card",1000,IF(D401="Charger",1200,IF(D401="Tripod Stand",4500,IF(D401="Selfie Stick",2500,IF(D401="Cables",800,IF(D401="Ringlight",8500,IF(D401="Speakers",5500,IF(D401="Wireless Mic",7000,IF(D401="Mouse",3200,IF(D401="Powerbanks",6000,IF(D401="Smartwatch",10000,""))))))))))))))</f>
        <v/>
      </c>
      <c r="H401" s="11" t="str">
        <f aca="false">IF(OR(F401="",G401=""),"",F401*G401)</f>
        <v/>
      </c>
      <c r="I401" s="12"/>
      <c r="J401" s="12"/>
    </row>
    <row r="402" customFormat="false" ht="18.75" hidden="false" customHeight="true" outlineLevel="0" collapsed="false">
      <c r="B402" s="13" t="n">
        <v>398</v>
      </c>
      <c r="C402" s="14"/>
      <c r="D402" s="15"/>
      <c r="E402" s="16"/>
      <c r="F402" s="17"/>
      <c r="G402" s="10" t="str">
        <f aca="false">IF(D402="","",IF(D402="EarPods",1500,IF(D402="Button Phone",6000,IF(D402="Memory Card",1000,IF(D402="Charger",1200,IF(D402="Tripod Stand",4500,IF(D402="Selfie Stick",2500,IF(D402="Cables",800,IF(D402="Ringlight",8500,IF(D402="Speakers",5500,IF(D402="Wireless Mic",7000,IF(D402="Mouse",3200,IF(D402="Powerbanks",6000,IF(D402="Smartwatch",10000,""))))))))))))))</f>
        <v/>
      </c>
      <c r="H402" s="11" t="str">
        <f aca="false">IF(OR(F402="",G402=""),"",F402*G402)</f>
        <v/>
      </c>
      <c r="I402" s="18"/>
      <c r="J402" s="18"/>
    </row>
    <row r="403" customFormat="false" ht="18.75" hidden="false" customHeight="true" outlineLevel="0" collapsed="false">
      <c r="B403" s="5" t="n">
        <v>399</v>
      </c>
      <c r="C403" s="6"/>
      <c r="D403" s="7"/>
      <c r="E403" s="8"/>
      <c r="F403" s="9"/>
      <c r="G403" s="10" t="str">
        <f aca="false">IF(D403="","",IF(D403="EarPods",1500,IF(D403="Button Phone",6000,IF(D403="Memory Card",1000,IF(D403="Charger",1200,IF(D403="Tripod Stand",4500,IF(D403="Selfie Stick",2500,IF(D403="Cables",800,IF(D403="Ringlight",8500,IF(D403="Speakers",5500,IF(D403="Wireless Mic",7000,IF(D403="Mouse",3200,IF(D403="Powerbanks",6000,IF(D403="Smartwatch",10000,""))))))))))))))</f>
        <v/>
      </c>
      <c r="H403" s="11" t="str">
        <f aca="false">IF(OR(F403="",G403=""),"",F403*G403)</f>
        <v/>
      </c>
      <c r="I403" s="12"/>
      <c r="J403" s="12"/>
    </row>
    <row r="404" customFormat="false" ht="18.75" hidden="false" customHeight="true" outlineLevel="0" collapsed="false">
      <c r="B404" s="13" t="n">
        <v>400</v>
      </c>
      <c r="C404" s="14"/>
      <c r="D404" s="15"/>
      <c r="E404" s="16"/>
      <c r="F404" s="17"/>
      <c r="G404" s="10" t="str">
        <f aca="false">IF(D404="","",IF(D404="EarPods",1500,IF(D404="Button Phone",6000,IF(D404="Memory Card",1000,IF(D404="Charger",1200,IF(D404="Tripod Stand",4500,IF(D404="Selfie Stick",2500,IF(D404="Cables",800,IF(D404="Ringlight",8500,IF(D404="Speakers",5500,IF(D404="Wireless Mic",7000,IF(D404="Mouse",3200,IF(D404="Powerbanks",6000,IF(D404="Smartwatch",10000,""))))))))))))))</f>
        <v/>
      </c>
      <c r="H404" s="11" t="str">
        <f aca="false">IF(OR(F404="",G404=""),"",F404*G404)</f>
        <v/>
      </c>
      <c r="I404" s="18"/>
      <c r="J404" s="18"/>
    </row>
    <row r="405" customFormat="false" ht="18.75" hidden="false" customHeight="true" outlineLevel="0" collapsed="false">
      <c r="B405" s="5" t="n">
        <v>401</v>
      </c>
      <c r="C405" s="6"/>
      <c r="D405" s="7"/>
      <c r="E405" s="8"/>
      <c r="F405" s="9"/>
      <c r="G405" s="10" t="str">
        <f aca="false">IF(D405="","",IF(D405="EarPods",1500,IF(D405="Button Phone",6000,IF(D405="Memory Card",1000,IF(D405="Charger",1200,IF(D405="Tripod Stand",4500,IF(D405="Selfie Stick",2500,IF(D405="Cables",800,IF(D405="Ringlight",8500,IF(D405="Speakers",5500,IF(D405="Wireless Mic",7000,IF(D405="Mouse",3200,IF(D405="Powerbanks",6000,IF(D405="Smartwatch",10000,""))))))))))))))</f>
        <v/>
      </c>
      <c r="H405" s="11" t="str">
        <f aca="false">IF(OR(F405="",G405=""),"",F405*G405)</f>
        <v/>
      </c>
      <c r="I405" s="12"/>
      <c r="J405" s="12"/>
    </row>
    <row r="406" customFormat="false" ht="18.75" hidden="false" customHeight="true" outlineLevel="0" collapsed="false">
      <c r="B406" s="13" t="n">
        <v>402</v>
      </c>
      <c r="C406" s="14"/>
      <c r="D406" s="15"/>
      <c r="E406" s="16"/>
      <c r="F406" s="17"/>
      <c r="G406" s="10" t="str">
        <f aca="false">IF(D406="","",IF(D406="EarPods",1500,IF(D406="Button Phone",6000,IF(D406="Memory Card",1000,IF(D406="Charger",1200,IF(D406="Tripod Stand",4500,IF(D406="Selfie Stick",2500,IF(D406="Cables",800,IF(D406="Ringlight",8500,IF(D406="Speakers",5500,IF(D406="Wireless Mic",7000,IF(D406="Mouse",3200,IF(D406="Powerbanks",6000,IF(D406="Smartwatch",10000,""))))))))))))))</f>
        <v/>
      </c>
      <c r="H406" s="11" t="str">
        <f aca="false">IF(OR(F406="",G406=""),"",F406*G406)</f>
        <v/>
      </c>
      <c r="I406" s="18"/>
      <c r="J406" s="18"/>
    </row>
    <row r="407" customFormat="false" ht="18.75" hidden="false" customHeight="true" outlineLevel="0" collapsed="false">
      <c r="B407" s="5" t="n">
        <v>403</v>
      </c>
      <c r="C407" s="6"/>
      <c r="D407" s="7"/>
      <c r="E407" s="8"/>
      <c r="F407" s="9"/>
      <c r="G407" s="10" t="str">
        <f aca="false">IF(D407="","",IF(D407="EarPods",1500,IF(D407="Button Phone",6000,IF(D407="Memory Card",1000,IF(D407="Charger",1200,IF(D407="Tripod Stand",4500,IF(D407="Selfie Stick",2500,IF(D407="Cables",800,IF(D407="Ringlight",8500,IF(D407="Speakers",5500,IF(D407="Wireless Mic",7000,IF(D407="Mouse",3200,IF(D407="Powerbanks",6000,IF(D407="Smartwatch",10000,""))))))))))))))</f>
        <v/>
      </c>
      <c r="H407" s="11" t="str">
        <f aca="false">IF(OR(F407="",G407=""),"",F407*G407)</f>
        <v/>
      </c>
      <c r="I407" s="12"/>
      <c r="J407" s="12"/>
    </row>
    <row r="408" customFormat="false" ht="18.75" hidden="false" customHeight="true" outlineLevel="0" collapsed="false">
      <c r="B408" s="13" t="n">
        <v>404</v>
      </c>
      <c r="C408" s="14"/>
      <c r="D408" s="15"/>
      <c r="E408" s="16"/>
      <c r="F408" s="17"/>
      <c r="G408" s="10" t="str">
        <f aca="false">IF(D408="","",IF(D408="EarPods",1500,IF(D408="Button Phone",6000,IF(D408="Memory Card",1000,IF(D408="Charger",1200,IF(D408="Tripod Stand",4500,IF(D408="Selfie Stick",2500,IF(D408="Cables",800,IF(D408="Ringlight",8500,IF(D408="Speakers",5500,IF(D408="Wireless Mic",7000,IF(D408="Mouse",3200,IF(D408="Powerbanks",6000,IF(D408="Smartwatch",10000,""))))))))))))))</f>
        <v/>
      </c>
      <c r="H408" s="11" t="str">
        <f aca="false">IF(OR(F408="",G408=""),"",F408*G408)</f>
        <v/>
      </c>
      <c r="I408" s="18"/>
      <c r="J408" s="18"/>
    </row>
    <row r="409" customFormat="false" ht="18.75" hidden="false" customHeight="true" outlineLevel="0" collapsed="false">
      <c r="B409" s="5" t="n">
        <v>405</v>
      </c>
      <c r="C409" s="6"/>
      <c r="D409" s="7"/>
      <c r="E409" s="8"/>
      <c r="F409" s="9"/>
      <c r="G409" s="10" t="str">
        <f aca="false">IF(D409="","",IF(D409="EarPods",1500,IF(D409="Button Phone",6000,IF(D409="Memory Card",1000,IF(D409="Charger",1200,IF(D409="Tripod Stand",4500,IF(D409="Selfie Stick",2500,IF(D409="Cables",800,IF(D409="Ringlight",8500,IF(D409="Speakers",5500,IF(D409="Wireless Mic",7000,IF(D409="Mouse",3200,IF(D409="Powerbanks",6000,IF(D409="Smartwatch",10000,""))))))))))))))</f>
        <v/>
      </c>
      <c r="H409" s="11" t="str">
        <f aca="false">IF(OR(F409="",G409=""),"",F409*G409)</f>
        <v/>
      </c>
      <c r="I409" s="12"/>
      <c r="J409" s="12"/>
    </row>
    <row r="410" customFormat="false" ht="18.75" hidden="false" customHeight="true" outlineLevel="0" collapsed="false">
      <c r="B410" s="13" t="n">
        <v>406</v>
      </c>
      <c r="C410" s="14"/>
      <c r="D410" s="15"/>
      <c r="E410" s="16"/>
      <c r="F410" s="17"/>
      <c r="G410" s="10" t="str">
        <f aca="false">IF(D410="","",IF(D410="EarPods",1500,IF(D410="Button Phone",6000,IF(D410="Memory Card",1000,IF(D410="Charger",1200,IF(D410="Tripod Stand",4500,IF(D410="Selfie Stick",2500,IF(D410="Cables",800,IF(D410="Ringlight",8500,IF(D410="Speakers",5500,IF(D410="Wireless Mic",7000,IF(D410="Mouse",3200,IF(D410="Powerbanks",6000,IF(D410="Smartwatch",10000,""))))))))))))))</f>
        <v/>
      </c>
      <c r="H410" s="11" t="str">
        <f aca="false">IF(OR(F410="",G410=""),"",F410*G410)</f>
        <v/>
      </c>
      <c r="I410" s="18"/>
      <c r="J410" s="18"/>
    </row>
    <row r="411" customFormat="false" ht="18.75" hidden="false" customHeight="true" outlineLevel="0" collapsed="false">
      <c r="B411" s="5" t="n">
        <v>407</v>
      </c>
      <c r="C411" s="6"/>
      <c r="D411" s="7"/>
      <c r="E411" s="8"/>
      <c r="F411" s="9"/>
      <c r="G411" s="10" t="str">
        <f aca="false">IF(D411="","",IF(D411="EarPods",1500,IF(D411="Button Phone",6000,IF(D411="Memory Card",1000,IF(D411="Charger",1200,IF(D411="Tripod Stand",4500,IF(D411="Selfie Stick",2500,IF(D411="Cables",800,IF(D411="Ringlight",8500,IF(D411="Speakers",5500,IF(D411="Wireless Mic",7000,IF(D411="Mouse",3200,IF(D411="Powerbanks",6000,IF(D411="Smartwatch",10000,""))))))))))))))</f>
        <v/>
      </c>
      <c r="H411" s="11" t="str">
        <f aca="false">IF(OR(F411="",G411=""),"",F411*G411)</f>
        <v/>
      </c>
      <c r="I411" s="12"/>
      <c r="J411" s="12"/>
    </row>
    <row r="412" customFormat="false" ht="18.75" hidden="false" customHeight="true" outlineLevel="0" collapsed="false">
      <c r="B412" s="13" t="n">
        <v>408</v>
      </c>
      <c r="C412" s="14"/>
      <c r="D412" s="15"/>
      <c r="E412" s="16"/>
      <c r="F412" s="17"/>
      <c r="G412" s="10" t="str">
        <f aca="false">IF(D412="","",IF(D412="EarPods",1500,IF(D412="Button Phone",6000,IF(D412="Memory Card",1000,IF(D412="Charger",1200,IF(D412="Tripod Stand",4500,IF(D412="Selfie Stick",2500,IF(D412="Cables",800,IF(D412="Ringlight",8500,IF(D412="Speakers",5500,IF(D412="Wireless Mic",7000,IF(D412="Mouse",3200,IF(D412="Powerbanks",6000,IF(D412="Smartwatch",10000,""))))))))))))))</f>
        <v/>
      </c>
      <c r="H412" s="11" t="str">
        <f aca="false">IF(OR(F412="",G412=""),"",F412*G412)</f>
        <v/>
      </c>
      <c r="I412" s="18"/>
      <c r="J412" s="18"/>
    </row>
    <row r="413" customFormat="false" ht="18.75" hidden="false" customHeight="true" outlineLevel="0" collapsed="false">
      <c r="B413" s="5" t="n">
        <v>409</v>
      </c>
      <c r="C413" s="6"/>
      <c r="D413" s="7"/>
      <c r="E413" s="8"/>
      <c r="F413" s="9"/>
      <c r="G413" s="10" t="str">
        <f aca="false">IF(D413="","",IF(D413="EarPods",1500,IF(D413="Button Phone",6000,IF(D413="Memory Card",1000,IF(D413="Charger",1200,IF(D413="Tripod Stand",4500,IF(D413="Selfie Stick",2500,IF(D413="Cables",800,IF(D413="Ringlight",8500,IF(D413="Speakers",5500,IF(D413="Wireless Mic",7000,IF(D413="Mouse",3200,IF(D413="Powerbanks",6000,IF(D413="Smartwatch",10000,""))))))))))))))</f>
        <v/>
      </c>
      <c r="H413" s="11" t="str">
        <f aca="false">IF(OR(F413="",G413=""),"",F413*G413)</f>
        <v/>
      </c>
      <c r="I413" s="12"/>
      <c r="J413" s="12"/>
    </row>
    <row r="414" customFormat="false" ht="18.75" hidden="false" customHeight="true" outlineLevel="0" collapsed="false">
      <c r="B414" s="13" t="n">
        <v>410</v>
      </c>
      <c r="C414" s="14"/>
      <c r="D414" s="15"/>
      <c r="E414" s="16"/>
      <c r="F414" s="17"/>
      <c r="G414" s="10" t="str">
        <f aca="false">IF(D414="","",IF(D414="EarPods",1500,IF(D414="Button Phone",6000,IF(D414="Memory Card",1000,IF(D414="Charger",1200,IF(D414="Tripod Stand",4500,IF(D414="Selfie Stick",2500,IF(D414="Cables",800,IF(D414="Ringlight",8500,IF(D414="Speakers",5500,IF(D414="Wireless Mic",7000,IF(D414="Mouse",3200,IF(D414="Powerbanks",6000,IF(D414="Smartwatch",10000,""))))))))))))))</f>
        <v/>
      </c>
      <c r="H414" s="11" t="str">
        <f aca="false">IF(OR(F414="",G414=""),"",F414*G414)</f>
        <v/>
      </c>
      <c r="I414" s="18"/>
      <c r="J414" s="18"/>
    </row>
    <row r="415" customFormat="false" ht="18.75" hidden="false" customHeight="true" outlineLevel="0" collapsed="false">
      <c r="B415" s="5" t="n">
        <v>411</v>
      </c>
      <c r="C415" s="6"/>
      <c r="D415" s="7"/>
      <c r="E415" s="8"/>
      <c r="F415" s="9"/>
      <c r="G415" s="10" t="str">
        <f aca="false">IF(D415="","",IF(D415="EarPods",1500,IF(D415="Button Phone",6000,IF(D415="Memory Card",1000,IF(D415="Charger",1200,IF(D415="Tripod Stand",4500,IF(D415="Selfie Stick",2500,IF(D415="Cables",800,IF(D415="Ringlight",8500,IF(D415="Speakers",5500,IF(D415="Wireless Mic",7000,IF(D415="Mouse",3200,IF(D415="Powerbanks",6000,IF(D415="Smartwatch",10000,""))))))))))))))</f>
        <v/>
      </c>
      <c r="H415" s="11" t="str">
        <f aca="false">IF(OR(F415="",G415=""),"",F415*G415)</f>
        <v/>
      </c>
      <c r="I415" s="12"/>
      <c r="J415" s="12"/>
    </row>
    <row r="416" customFormat="false" ht="18.75" hidden="false" customHeight="true" outlineLevel="0" collapsed="false">
      <c r="B416" s="13" t="n">
        <v>412</v>
      </c>
      <c r="C416" s="14"/>
      <c r="D416" s="15"/>
      <c r="E416" s="16"/>
      <c r="F416" s="17"/>
      <c r="G416" s="10" t="str">
        <f aca="false">IF(D416="","",IF(D416="EarPods",1500,IF(D416="Button Phone",6000,IF(D416="Memory Card",1000,IF(D416="Charger",1200,IF(D416="Tripod Stand",4500,IF(D416="Selfie Stick",2500,IF(D416="Cables",800,IF(D416="Ringlight",8500,IF(D416="Speakers",5500,IF(D416="Wireless Mic",7000,IF(D416="Mouse",3200,IF(D416="Powerbanks",6000,IF(D416="Smartwatch",10000,""))))))))))))))</f>
        <v/>
      </c>
      <c r="H416" s="11" t="str">
        <f aca="false">IF(OR(F416="",G416=""),"",F416*G416)</f>
        <v/>
      </c>
      <c r="I416" s="18"/>
      <c r="J416" s="18"/>
    </row>
    <row r="417" customFormat="false" ht="18.75" hidden="false" customHeight="true" outlineLevel="0" collapsed="false">
      <c r="B417" s="5" t="n">
        <v>413</v>
      </c>
      <c r="C417" s="6"/>
      <c r="D417" s="7"/>
      <c r="E417" s="8"/>
      <c r="F417" s="9"/>
      <c r="G417" s="10" t="str">
        <f aca="false">IF(D417="","",IF(D417="EarPods",1500,IF(D417="Button Phone",6000,IF(D417="Memory Card",1000,IF(D417="Charger",1200,IF(D417="Tripod Stand",4500,IF(D417="Selfie Stick",2500,IF(D417="Cables",800,IF(D417="Ringlight",8500,IF(D417="Speakers",5500,IF(D417="Wireless Mic",7000,IF(D417="Mouse",3200,IF(D417="Powerbanks",6000,IF(D417="Smartwatch",10000,""))))))))))))))</f>
        <v/>
      </c>
      <c r="H417" s="11" t="str">
        <f aca="false">IF(OR(F417="",G417=""),"",F417*G417)</f>
        <v/>
      </c>
      <c r="I417" s="12"/>
      <c r="J417" s="12"/>
    </row>
    <row r="418" customFormat="false" ht="18.75" hidden="false" customHeight="true" outlineLevel="0" collapsed="false">
      <c r="B418" s="13" t="n">
        <v>414</v>
      </c>
      <c r="C418" s="14"/>
      <c r="D418" s="15"/>
      <c r="E418" s="16"/>
      <c r="F418" s="17"/>
      <c r="G418" s="10" t="str">
        <f aca="false">IF(D418="","",IF(D418="EarPods",1500,IF(D418="Button Phone",6000,IF(D418="Memory Card",1000,IF(D418="Charger",1200,IF(D418="Tripod Stand",4500,IF(D418="Selfie Stick",2500,IF(D418="Cables",800,IF(D418="Ringlight",8500,IF(D418="Speakers",5500,IF(D418="Wireless Mic",7000,IF(D418="Mouse",3200,IF(D418="Powerbanks",6000,IF(D418="Smartwatch",10000,""))))))))))))))</f>
        <v/>
      </c>
      <c r="H418" s="11" t="str">
        <f aca="false">IF(OR(F418="",G418=""),"",F418*G418)</f>
        <v/>
      </c>
      <c r="I418" s="18"/>
      <c r="J418" s="18"/>
    </row>
    <row r="419" customFormat="false" ht="18.75" hidden="false" customHeight="true" outlineLevel="0" collapsed="false">
      <c r="B419" s="5" t="n">
        <v>415</v>
      </c>
      <c r="C419" s="6"/>
      <c r="D419" s="7"/>
      <c r="E419" s="8"/>
      <c r="F419" s="9"/>
      <c r="G419" s="10" t="str">
        <f aca="false">IF(D419="","",IF(D419="EarPods",1500,IF(D419="Button Phone",6000,IF(D419="Memory Card",1000,IF(D419="Charger",1200,IF(D419="Tripod Stand",4500,IF(D419="Selfie Stick",2500,IF(D419="Cables",800,IF(D419="Ringlight",8500,IF(D419="Speakers",5500,IF(D419="Wireless Mic",7000,IF(D419="Mouse",3200,IF(D419="Powerbanks",6000,IF(D419="Smartwatch",10000,""))))))))))))))</f>
        <v/>
      </c>
      <c r="H419" s="11" t="str">
        <f aca="false">IF(OR(F419="",G419=""),"",F419*G419)</f>
        <v/>
      </c>
      <c r="I419" s="12"/>
      <c r="J419" s="12"/>
    </row>
    <row r="420" customFormat="false" ht="18.75" hidden="false" customHeight="true" outlineLevel="0" collapsed="false">
      <c r="B420" s="13" t="n">
        <v>416</v>
      </c>
      <c r="C420" s="14"/>
      <c r="D420" s="15"/>
      <c r="E420" s="16"/>
      <c r="F420" s="17"/>
      <c r="G420" s="10" t="str">
        <f aca="false">IF(D420="","",IF(D420="EarPods",1500,IF(D420="Button Phone",6000,IF(D420="Memory Card",1000,IF(D420="Charger",1200,IF(D420="Tripod Stand",4500,IF(D420="Selfie Stick",2500,IF(D420="Cables",800,IF(D420="Ringlight",8500,IF(D420="Speakers",5500,IF(D420="Wireless Mic",7000,IF(D420="Mouse",3200,IF(D420="Powerbanks",6000,IF(D420="Smartwatch",10000,""))))))))))))))</f>
        <v/>
      </c>
      <c r="H420" s="11" t="str">
        <f aca="false">IF(OR(F420="",G420=""),"",F420*G420)</f>
        <v/>
      </c>
      <c r="I420" s="18"/>
      <c r="J420" s="18"/>
    </row>
    <row r="421" customFormat="false" ht="18.75" hidden="false" customHeight="true" outlineLevel="0" collapsed="false">
      <c r="B421" s="5" t="n">
        <v>417</v>
      </c>
      <c r="C421" s="6"/>
      <c r="D421" s="7"/>
      <c r="E421" s="8"/>
      <c r="F421" s="9"/>
      <c r="G421" s="10" t="str">
        <f aca="false">IF(D421="","",IF(D421="EarPods",1500,IF(D421="Button Phone",6000,IF(D421="Memory Card",1000,IF(D421="Charger",1200,IF(D421="Tripod Stand",4500,IF(D421="Selfie Stick",2500,IF(D421="Cables",800,IF(D421="Ringlight",8500,IF(D421="Speakers",5500,IF(D421="Wireless Mic",7000,IF(D421="Mouse",3200,IF(D421="Powerbanks",6000,IF(D421="Smartwatch",10000,""))))))))))))))</f>
        <v/>
      </c>
      <c r="H421" s="11" t="str">
        <f aca="false">IF(OR(F421="",G421=""),"",F421*G421)</f>
        <v/>
      </c>
      <c r="I421" s="12"/>
      <c r="J421" s="12"/>
    </row>
    <row r="422" customFormat="false" ht="18.75" hidden="false" customHeight="true" outlineLevel="0" collapsed="false">
      <c r="B422" s="13" t="n">
        <v>418</v>
      </c>
      <c r="C422" s="14"/>
      <c r="D422" s="15"/>
      <c r="E422" s="16"/>
      <c r="F422" s="17"/>
      <c r="G422" s="10" t="str">
        <f aca="false">IF(D422="","",IF(D422="EarPods",1500,IF(D422="Button Phone",6000,IF(D422="Memory Card",1000,IF(D422="Charger",1200,IF(D422="Tripod Stand",4500,IF(D422="Selfie Stick",2500,IF(D422="Cables",800,IF(D422="Ringlight",8500,IF(D422="Speakers",5500,IF(D422="Wireless Mic",7000,IF(D422="Mouse",3200,IF(D422="Powerbanks",6000,IF(D422="Smartwatch",10000,""))))))))))))))</f>
        <v/>
      </c>
      <c r="H422" s="11" t="str">
        <f aca="false">IF(OR(F422="",G422=""),"",F422*G422)</f>
        <v/>
      </c>
      <c r="I422" s="18"/>
      <c r="J422" s="18"/>
    </row>
    <row r="423" customFormat="false" ht="18.75" hidden="false" customHeight="true" outlineLevel="0" collapsed="false">
      <c r="B423" s="5" t="n">
        <v>419</v>
      </c>
      <c r="C423" s="6"/>
      <c r="D423" s="7"/>
      <c r="E423" s="8"/>
      <c r="F423" s="9"/>
      <c r="G423" s="10" t="str">
        <f aca="false">IF(D423="","",IF(D423="EarPods",1500,IF(D423="Button Phone",6000,IF(D423="Memory Card",1000,IF(D423="Charger",1200,IF(D423="Tripod Stand",4500,IF(D423="Selfie Stick",2500,IF(D423="Cables",800,IF(D423="Ringlight",8500,IF(D423="Speakers",5500,IF(D423="Wireless Mic",7000,IF(D423="Mouse",3200,IF(D423="Powerbanks",6000,IF(D423="Smartwatch",10000,""))))))))))))))</f>
        <v/>
      </c>
      <c r="H423" s="11" t="str">
        <f aca="false">IF(OR(F423="",G423=""),"",F423*G423)</f>
        <v/>
      </c>
      <c r="I423" s="12"/>
      <c r="J423" s="12"/>
    </row>
    <row r="424" customFormat="false" ht="18.75" hidden="false" customHeight="true" outlineLevel="0" collapsed="false">
      <c r="B424" s="13" t="n">
        <v>420</v>
      </c>
      <c r="C424" s="14"/>
      <c r="D424" s="15"/>
      <c r="E424" s="16"/>
      <c r="F424" s="17"/>
      <c r="G424" s="10" t="str">
        <f aca="false">IF(D424="","",IF(D424="EarPods",1500,IF(D424="Button Phone",6000,IF(D424="Memory Card",1000,IF(D424="Charger",1200,IF(D424="Tripod Stand",4500,IF(D424="Selfie Stick",2500,IF(D424="Cables",800,IF(D424="Ringlight",8500,IF(D424="Speakers",5500,IF(D424="Wireless Mic",7000,IF(D424="Mouse",3200,IF(D424="Powerbanks",6000,IF(D424="Smartwatch",10000,""))))))))))))))</f>
        <v/>
      </c>
      <c r="H424" s="11" t="str">
        <f aca="false">IF(OR(F424="",G424=""),"",F424*G424)</f>
        <v/>
      </c>
      <c r="I424" s="18"/>
      <c r="J424" s="18"/>
    </row>
    <row r="425" customFormat="false" ht="18.75" hidden="false" customHeight="true" outlineLevel="0" collapsed="false">
      <c r="B425" s="5" t="n">
        <v>421</v>
      </c>
      <c r="C425" s="6"/>
      <c r="D425" s="7"/>
      <c r="E425" s="8"/>
      <c r="F425" s="9"/>
      <c r="G425" s="10" t="str">
        <f aca="false">IF(D425="","",IF(D425="EarPods",1500,IF(D425="Button Phone",6000,IF(D425="Memory Card",1000,IF(D425="Charger",1200,IF(D425="Tripod Stand",4500,IF(D425="Selfie Stick",2500,IF(D425="Cables",800,IF(D425="Ringlight",8500,IF(D425="Speakers",5500,IF(D425="Wireless Mic",7000,IF(D425="Mouse",3200,IF(D425="Powerbanks",6000,IF(D425="Smartwatch",10000,""))))))))))))))</f>
        <v/>
      </c>
      <c r="H425" s="11" t="str">
        <f aca="false">IF(OR(F425="",G425=""),"",F425*G425)</f>
        <v/>
      </c>
      <c r="I425" s="12"/>
      <c r="J425" s="12"/>
    </row>
    <row r="426" customFormat="false" ht="18.75" hidden="false" customHeight="true" outlineLevel="0" collapsed="false">
      <c r="B426" s="13" t="n">
        <v>422</v>
      </c>
      <c r="C426" s="14"/>
      <c r="D426" s="15"/>
      <c r="E426" s="16"/>
      <c r="F426" s="17"/>
      <c r="G426" s="10" t="str">
        <f aca="false">IF(D426="","",IF(D426="EarPods",1500,IF(D426="Button Phone",6000,IF(D426="Memory Card",1000,IF(D426="Charger",1200,IF(D426="Tripod Stand",4500,IF(D426="Selfie Stick",2500,IF(D426="Cables",800,IF(D426="Ringlight",8500,IF(D426="Speakers",5500,IF(D426="Wireless Mic",7000,IF(D426="Mouse",3200,IF(D426="Powerbanks",6000,IF(D426="Smartwatch",10000,""))))))))))))))</f>
        <v/>
      </c>
      <c r="H426" s="11" t="str">
        <f aca="false">IF(OR(F426="",G426=""),"",F426*G426)</f>
        <v/>
      </c>
      <c r="I426" s="18"/>
      <c r="J426" s="18"/>
    </row>
    <row r="427" customFormat="false" ht="18.75" hidden="false" customHeight="true" outlineLevel="0" collapsed="false">
      <c r="B427" s="5" t="n">
        <v>423</v>
      </c>
      <c r="C427" s="6"/>
      <c r="D427" s="7"/>
      <c r="E427" s="8"/>
      <c r="F427" s="9"/>
      <c r="G427" s="10" t="str">
        <f aca="false">IF(D427="","",IF(D427="EarPods",1500,IF(D427="Button Phone",6000,IF(D427="Memory Card",1000,IF(D427="Charger",1200,IF(D427="Tripod Stand",4500,IF(D427="Selfie Stick",2500,IF(D427="Cables",800,IF(D427="Ringlight",8500,IF(D427="Speakers",5500,IF(D427="Wireless Mic",7000,IF(D427="Mouse",3200,IF(D427="Powerbanks",6000,IF(D427="Smartwatch",10000,""))))))))))))))</f>
        <v/>
      </c>
      <c r="H427" s="11" t="str">
        <f aca="false">IF(OR(F427="",G427=""),"",F427*G427)</f>
        <v/>
      </c>
      <c r="I427" s="12"/>
      <c r="J427" s="12"/>
    </row>
    <row r="428" customFormat="false" ht="18.75" hidden="false" customHeight="true" outlineLevel="0" collapsed="false">
      <c r="B428" s="13" t="n">
        <v>424</v>
      </c>
      <c r="C428" s="14"/>
      <c r="D428" s="15"/>
      <c r="E428" s="16"/>
      <c r="F428" s="17"/>
      <c r="G428" s="10" t="str">
        <f aca="false">IF(D428="","",IF(D428="EarPods",1500,IF(D428="Button Phone",6000,IF(D428="Memory Card",1000,IF(D428="Charger",1200,IF(D428="Tripod Stand",4500,IF(D428="Selfie Stick",2500,IF(D428="Cables",800,IF(D428="Ringlight",8500,IF(D428="Speakers",5500,IF(D428="Wireless Mic",7000,IF(D428="Mouse",3200,IF(D428="Powerbanks",6000,IF(D428="Smartwatch",10000,""))))))))))))))</f>
        <v/>
      </c>
      <c r="H428" s="11" t="str">
        <f aca="false">IF(OR(F428="",G428=""),"",F428*G428)</f>
        <v/>
      </c>
      <c r="I428" s="18"/>
      <c r="J428" s="18"/>
    </row>
    <row r="429" customFormat="false" ht="18.75" hidden="false" customHeight="true" outlineLevel="0" collapsed="false">
      <c r="B429" s="5" t="n">
        <v>425</v>
      </c>
      <c r="C429" s="6"/>
      <c r="D429" s="7"/>
      <c r="E429" s="8"/>
      <c r="F429" s="9"/>
      <c r="G429" s="10" t="str">
        <f aca="false">IF(D429="","",IF(D429="EarPods",1500,IF(D429="Button Phone",6000,IF(D429="Memory Card",1000,IF(D429="Charger",1200,IF(D429="Tripod Stand",4500,IF(D429="Selfie Stick",2500,IF(D429="Cables",800,IF(D429="Ringlight",8500,IF(D429="Speakers",5500,IF(D429="Wireless Mic",7000,IF(D429="Mouse",3200,IF(D429="Powerbanks",6000,IF(D429="Smartwatch",10000,""))))))))))))))</f>
        <v/>
      </c>
      <c r="H429" s="11" t="str">
        <f aca="false">IF(OR(F429="",G429=""),"",F429*G429)</f>
        <v/>
      </c>
      <c r="I429" s="12"/>
      <c r="J429" s="12"/>
    </row>
    <row r="430" customFormat="false" ht="18.75" hidden="false" customHeight="true" outlineLevel="0" collapsed="false">
      <c r="B430" s="13" t="n">
        <v>426</v>
      </c>
      <c r="C430" s="14"/>
      <c r="D430" s="15"/>
      <c r="E430" s="16"/>
      <c r="F430" s="17"/>
      <c r="G430" s="10" t="str">
        <f aca="false">IF(D430="","",IF(D430="EarPods",1500,IF(D430="Button Phone",6000,IF(D430="Memory Card",1000,IF(D430="Charger",1200,IF(D430="Tripod Stand",4500,IF(D430="Selfie Stick",2500,IF(D430="Cables",800,IF(D430="Ringlight",8500,IF(D430="Speakers",5500,IF(D430="Wireless Mic",7000,IF(D430="Mouse",3200,IF(D430="Powerbanks",6000,IF(D430="Smartwatch",10000,""))))))))))))))</f>
        <v/>
      </c>
      <c r="H430" s="11" t="str">
        <f aca="false">IF(OR(F430="",G430=""),"",F430*G430)</f>
        <v/>
      </c>
      <c r="I430" s="18"/>
      <c r="J430" s="18"/>
    </row>
    <row r="431" customFormat="false" ht="18.75" hidden="false" customHeight="true" outlineLevel="0" collapsed="false">
      <c r="B431" s="5" t="n">
        <v>427</v>
      </c>
      <c r="C431" s="6"/>
      <c r="D431" s="7"/>
      <c r="E431" s="8"/>
      <c r="F431" s="9"/>
      <c r="G431" s="10" t="str">
        <f aca="false">IF(D431="","",IF(D431="EarPods",1500,IF(D431="Button Phone",6000,IF(D431="Memory Card",1000,IF(D431="Charger",1200,IF(D431="Tripod Stand",4500,IF(D431="Selfie Stick",2500,IF(D431="Cables",800,IF(D431="Ringlight",8500,IF(D431="Speakers",5500,IF(D431="Wireless Mic",7000,IF(D431="Mouse",3200,IF(D431="Powerbanks",6000,IF(D431="Smartwatch",10000,""))))))))))))))</f>
        <v/>
      </c>
      <c r="H431" s="11" t="str">
        <f aca="false">IF(OR(F431="",G431=""),"",F431*G431)</f>
        <v/>
      </c>
      <c r="I431" s="12"/>
      <c r="J431" s="12"/>
    </row>
    <row r="432" customFormat="false" ht="18.75" hidden="false" customHeight="true" outlineLevel="0" collapsed="false">
      <c r="B432" s="13" t="n">
        <v>428</v>
      </c>
      <c r="C432" s="14"/>
      <c r="D432" s="15"/>
      <c r="E432" s="16"/>
      <c r="F432" s="17"/>
      <c r="G432" s="10" t="str">
        <f aca="false">IF(D432="","",IF(D432="EarPods",1500,IF(D432="Button Phone",6000,IF(D432="Memory Card",1000,IF(D432="Charger",1200,IF(D432="Tripod Stand",4500,IF(D432="Selfie Stick",2500,IF(D432="Cables",800,IF(D432="Ringlight",8500,IF(D432="Speakers",5500,IF(D432="Wireless Mic",7000,IF(D432="Mouse",3200,IF(D432="Powerbanks",6000,IF(D432="Smartwatch",10000,""))))))))))))))</f>
        <v/>
      </c>
      <c r="H432" s="11" t="str">
        <f aca="false">IF(OR(F432="",G432=""),"",F432*G432)</f>
        <v/>
      </c>
      <c r="I432" s="18"/>
      <c r="J432" s="18"/>
    </row>
    <row r="433" customFormat="false" ht="18.75" hidden="false" customHeight="true" outlineLevel="0" collapsed="false">
      <c r="B433" s="5" t="n">
        <v>429</v>
      </c>
      <c r="C433" s="6"/>
      <c r="D433" s="7"/>
      <c r="E433" s="8"/>
      <c r="F433" s="9"/>
      <c r="G433" s="10" t="str">
        <f aca="false">IF(D433="","",IF(D433="EarPods",1500,IF(D433="Button Phone",6000,IF(D433="Memory Card",1000,IF(D433="Charger",1200,IF(D433="Tripod Stand",4500,IF(D433="Selfie Stick",2500,IF(D433="Cables",800,IF(D433="Ringlight",8500,IF(D433="Speakers",5500,IF(D433="Wireless Mic",7000,IF(D433="Mouse",3200,IF(D433="Powerbanks",6000,IF(D433="Smartwatch",10000,""))))))))))))))</f>
        <v/>
      </c>
      <c r="H433" s="11" t="str">
        <f aca="false">IF(OR(F433="",G433=""),"",F433*G433)</f>
        <v/>
      </c>
      <c r="I433" s="12"/>
      <c r="J433" s="12"/>
    </row>
    <row r="434" customFormat="false" ht="18.75" hidden="false" customHeight="true" outlineLevel="0" collapsed="false">
      <c r="B434" s="13" t="n">
        <v>430</v>
      </c>
      <c r="C434" s="14"/>
      <c r="D434" s="15"/>
      <c r="E434" s="16"/>
      <c r="F434" s="17"/>
      <c r="G434" s="10" t="str">
        <f aca="false">IF(D434="","",IF(D434="EarPods",1500,IF(D434="Button Phone",6000,IF(D434="Memory Card",1000,IF(D434="Charger",1200,IF(D434="Tripod Stand",4500,IF(D434="Selfie Stick",2500,IF(D434="Cables",800,IF(D434="Ringlight",8500,IF(D434="Speakers",5500,IF(D434="Wireless Mic",7000,IF(D434="Mouse",3200,IF(D434="Powerbanks",6000,IF(D434="Smartwatch",10000,""))))))))))))))</f>
        <v/>
      </c>
      <c r="H434" s="11" t="str">
        <f aca="false">IF(OR(F434="",G434=""),"",F434*G434)</f>
        <v/>
      </c>
      <c r="I434" s="18"/>
      <c r="J434" s="18"/>
    </row>
    <row r="435" customFormat="false" ht="18.75" hidden="false" customHeight="true" outlineLevel="0" collapsed="false">
      <c r="B435" s="5" t="n">
        <v>431</v>
      </c>
      <c r="C435" s="6"/>
      <c r="D435" s="7"/>
      <c r="E435" s="8"/>
      <c r="F435" s="9"/>
      <c r="G435" s="10" t="str">
        <f aca="false">IF(D435="","",IF(D435="EarPods",1500,IF(D435="Button Phone",6000,IF(D435="Memory Card",1000,IF(D435="Charger",1200,IF(D435="Tripod Stand",4500,IF(D435="Selfie Stick",2500,IF(D435="Cables",800,IF(D435="Ringlight",8500,IF(D435="Speakers",5500,IF(D435="Wireless Mic",7000,IF(D435="Mouse",3200,IF(D435="Powerbanks",6000,IF(D435="Smartwatch",10000,""))))))))))))))</f>
        <v/>
      </c>
      <c r="H435" s="11" t="str">
        <f aca="false">IF(OR(F435="",G435=""),"",F435*G435)</f>
        <v/>
      </c>
      <c r="I435" s="12"/>
      <c r="J435" s="12"/>
    </row>
    <row r="436" customFormat="false" ht="18.75" hidden="false" customHeight="true" outlineLevel="0" collapsed="false">
      <c r="B436" s="13" t="n">
        <v>432</v>
      </c>
      <c r="C436" s="14"/>
      <c r="D436" s="15"/>
      <c r="E436" s="16"/>
      <c r="F436" s="17"/>
      <c r="G436" s="10" t="str">
        <f aca="false">IF(D436="","",IF(D436="EarPods",1500,IF(D436="Button Phone",6000,IF(D436="Memory Card",1000,IF(D436="Charger",1200,IF(D436="Tripod Stand",4500,IF(D436="Selfie Stick",2500,IF(D436="Cables",800,IF(D436="Ringlight",8500,IF(D436="Speakers",5500,IF(D436="Wireless Mic",7000,IF(D436="Mouse",3200,IF(D436="Powerbanks",6000,IF(D436="Smartwatch",10000,""))))))))))))))</f>
        <v/>
      </c>
      <c r="H436" s="11" t="str">
        <f aca="false">IF(OR(F436="",G436=""),"",F436*G436)</f>
        <v/>
      </c>
      <c r="I436" s="18"/>
      <c r="J436" s="18"/>
    </row>
    <row r="437" customFormat="false" ht="18.75" hidden="false" customHeight="true" outlineLevel="0" collapsed="false">
      <c r="B437" s="5" t="n">
        <v>433</v>
      </c>
      <c r="C437" s="6"/>
      <c r="D437" s="7"/>
      <c r="E437" s="8"/>
      <c r="F437" s="9"/>
      <c r="G437" s="10" t="str">
        <f aca="false">IF(D437="","",IF(D437="EarPods",1500,IF(D437="Button Phone",6000,IF(D437="Memory Card",1000,IF(D437="Charger",1200,IF(D437="Tripod Stand",4500,IF(D437="Selfie Stick",2500,IF(D437="Cables",800,IF(D437="Ringlight",8500,IF(D437="Speakers",5500,IF(D437="Wireless Mic",7000,IF(D437="Mouse",3200,IF(D437="Powerbanks",6000,IF(D437="Smartwatch",10000,""))))))))))))))</f>
        <v/>
      </c>
      <c r="H437" s="11" t="str">
        <f aca="false">IF(OR(F437="",G437=""),"",F437*G437)</f>
        <v/>
      </c>
      <c r="I437" s="12"/>
      <c r="J437" s="12"/>
    </row>
    <row r="438" customFormat="false" ht="18.75" hidden="false" customHeight="true" outlineLevel="0" collapsed="false">
      <c r="B438" s="13" t="n">
        <v>434</v>
      </c>
      <c r="C438" s="14"/>
      <c r="D438" s="15"/>
      <c r="E438" s="16"/>
      <c r="F438" s="17"/>
      <c r="G438" s="10" t="str">
        <f aca="false">IF(D438="","",IF(D438="EarPods",1500,IF(D438="Button Phone",6000,IF(D438="Memory Card",1000,IF(D438="Charger",1200,IF(D438="Tripod Stand",4500,IF(D438="Selfie Stick",2500,IF(D438="Cables",800,IF(D438="Ringlight",8500,IF(D438="Speakers",5500,IF(D438="Wireless Mic",7000,IF(D438="Mouse",3200,IF(D438="Powerbanks",6000,IF(D438="Smartwatch",10000,""))))))))))))))</f>
        <v/>
      </c>
      <c r="H438" s="11" t="str">
        <f aca="false">IF(OR(F438="",G438=""),"",F438*G438)</f>
        <v/>
      </c>
      <c r="I438" s="18"/>
      <c r="J438" s="18"/>
    </row>
    <row r="439" customFormat="false" ht="18.75" hidden="false" customHeight="true" outlineLevel="0" collapsed="false">
      <c r="B439" s="5" t="n">
        <v>435</v>
      </c>
      <c r="C439" s="6"/>
      <c r="D439" s="7"/>
      <c r="E439" s="8"/>
      <c r="F439" s="9"/>
      <c r="G439" s="10" t="str">
        <f aca="false">IF(D439="","",IF(D439="EarPods",1500,IF(D439="Button Phone",6000,IF(D439="Memory Card",1000,IF(D439="Charger",1200,IF(D439="Tripod Stand",4500,IF(D439="Selfie Stick",2500,IF(D439="Cables",800,IF(D439="Ringlight",8500,IF(D439="Speakers",5500,IF(D439="Wireless Mic",7000,IF(D439="Mouse",3200,IF(D439="Powerbanks",6000,IF(D439="Smartwatch",10000,""))))))))))))))</f>
        <v/>
      </c>
      <c r="H439" s="11" t="str">
        <f aca="false">IF(OR(F439="",G439=""),"",F439*G439)</f>
        <v/>
      </c>
      <c r="I439" s="12"/>
      <c r="J439" s="12"/>
    </row>
    <row r="440" customFormat="false" ht="18.75" hidden="false" customHeight="true" outlineLevel="0" collapsed="false">
      <c r="B440" s="13" t="n">
        <v>436</v>
      </c>
      <c r="C440" s="14"/>
      <c r="D440" s="15"/>
      <c r="E440" s="16"/>
      <c r="F440" s="17"/>
      <c r="G440" s="10" t="str">
        <f aca="false">IF(D440="","",IF(D440="EarPods",1500,IF(D440="Button Phone",6000,IF(D440="Memory Card",1000,IF(D440="Charger",1200,IF(D440="Tripod Stand",4500,IF(D440="Selfie Stick",2500,IF(D440="Cables",800,IF(D440="Ringlight",8500,IF(D440="Speakers",5500,IF(D440="Wireless Mic",7000,IF(D440="Mouse",3200,IF(D440="Powerbanks",6000,IF(D440="Smartwatch",10000,""))))))))))))))</f>
        <v/>
      </c>
      <c r="H440" s="11" t="str">
        <f aca="false">IF(OR(F440="",G440=""),"",F440*G440)</f>
        <v/>
      </c>
      <c r="I440" s="18"/>
      <c r="J440" s="18"/>
    </row>
    <row r="441" customFormat="false" ht="18.75" hidden="false" customHeight="true" outlineLevel="0" collapsed="false">
      <c r="B441" s="5" t="n">
        <v>437</v>
      </c>
      <c r="C441" s="6"/>
      <c r="D441" s="7"/>
      <c r="E441" s="8"/>
      <c r="F441" s="9"/>
      <c r="G441" s="10" t="str">
        <f aca="false">IF(D441="","",IF(D441="EarPods",1500,IF(D441="Button Phone",6000,IF(D441="Memory Card",1000,IF(D441="Charger",1200,IF(D441="Tripod Stand",4500,IF(D441="Selfie Stick",2500,IF(D441="Cables",800,IF(D441="Ringlight",8500,IF(D441="Speakers",5500,IF(D441="Wireless Mic",7000,IF(D441="Mouse",3200,IF(D441="Powerbanks",6000,IF(D441="Smartwatch",10000,""))))))))))))))</f>
        <v/>
      </c>
      <c r="H441" s="11" t="str">
        <f aca="false">IF(OR(F441="",G441=""),"",F441*G441)</f>
        <v/>
      </c>
      <c r="I441" s="12"/>
      <c r="J441" s="12"/>
    </row>
    <row r="442" customFormat="false" ht="18.75" hidden="false" customHeight="true" outlineLevel="0" collapsed="false">
      <c r="B442" s="13" t="n">
        <v>438</v>
      </c>
      <c r="C442" s="14"/>
      <c r="D442" s="15"/>
      <c r="E442" s="16"/>
      <c r="F442" s="17"/>
      <c r="G442" s="10" t="str">
        <f aca="false">IF(D442="","",IF(D442="EarPods",1500,IF(D442="Button Phone",6000,IF(D442="Memory Card",1000,IF(D442="Charger",1200,IF(D442="Tripod Stand",4500,IF(D442="Selfie Stick",2500,IF(D442="Cables",800,IF(D442="Ringlight",8500,IF(D442="Speakers",5500,IF(D442="Wireless Mic",7000,IF(D442="Mouse",3200,IF(D442="Powerbanks",6000,IF(D442="Smartwatch",10000,""))))))))))))))</f>
        <v/>
      </c>
      <c r="H442" s="11" t="str">
        <f aca="false">IF(OR(F442="",G442=""),"",F442*G442)</f>
        <v/>
      </c>
      <c r="I442" s="18"/>
      <c r="J442" s="18"/>
    </row>
    <row r="443" customFormat="false" ht="18.75" hidden="false" customHeight="true" outlineLevel="0" collapsed="false">
      <c r="B443" s="5" t="n">
        <v>439</v>
      </c>
      <c r="C443" s="6"/>
      <c r="D443" s="7"/>
      <c r="E443" s="8"/>
      <c r="F443" s="9"/>
      <c r="G443" s="10" t="str">
        <f aca="false">IF(D443="","",IF(D443="EarPods",1500,IF(D443="Button Phone",6000,IF(D443="Memory Card",1000,IF(D443="Charger",1200,IF(D443="Tripod Stand",4500,IF(D443="Selfie Stick",2500,IF(D443="Cables",800,IF(D443="Ringlight",8500,IF(D443="Speakers",5500,IF(D443="Wireless Mic",7000,IF(D443="Mouse",3200,IF(D443="Powerbanks",6000,IF(D443="Smartwatch",10000,""))))))))))))))</f>
        <v/>
      </c>
      <c r="H443" s="11" t="str">
        <f aca="false">IF(OR(F443="",G443=""),"",F443*G443)</f>
        <v/>
      </c>
      <c r="I443" s="12"/>
      <c r="J443" s="12"/>
    </row>
    <row r="444" customFormat="false" ht="18.75" hidden="false" customHeight="true" outlineLevel="0" collapsed="false">
      <c r="B444" s="13" t="n">
        <v>440</v>
      </c>
      <c r="C444" s="14"/>
      <c r="D444" s="15"/>
      <c r="E444" s="16"/>
      <c r="F444" s="17"/>
      <c r="G444" s="10" t="str">
        <f aca="false">IF(D444="","",IF(D444="EarPods",1500,IF(D444="Button Phone",6000,IF(D444="Memory Card",1000,IF(D444="Charger",1200,IF(D444="Tripod Stand",4500,IF(D444="Selfie Stick",2500,IF(D444="Cables",800,IF(D444="Ringlight",8500,IF(D444="Speakers",5500,IF(D444="Wireless Mic",7000,IF(D444="Mouse",3200,IF(D444="Powerbanks",6000,IF(D444="Smartwatch",10000,""))))))))))))))</f>
        <v/>
      </c>
      <c r="H444" s="11" t="str">
        <f aca="false">IF(OR(F444="",G444=""),"",F444*G444)</f>
        <v/>
      </c>
      <c r="I444" s="18"/>
      <c r="J444" s="18"/>
    </row>
    <row r="445" customFormat="false" ht="18.75" hidden="false" customHeight="true" outlineLevel="0" collapsed="false">
      <c r="B445" s="5" t="n">
        <v>441</v>
      </c>
      <c r="C445" s="6"/>
      <c r="D445" s="7"/>
      <c r="E445" s="8"/>
      <c r="F445" s="9"/>
      <c r="G445" s="10" t="str">
        <f aca="false">IF(D445="","",IF(D445="EarPods",1500,IF(D445="Button Phone",6000,IF(D445="Memory Card",1000,IF(D445="Charger",1200,IF(D445="Tripod Stand",4500,IF(D445="Selfie Stick",2500,IF(D445="Cables",800,IF(D445="Ringlight",8500,IF(D445="Speakers",5500,IF(D445="Wireless Mic",7000,IF(D445="Mouse",3200,IF(D445="Powerbanks",6000,IF(D445="Smartwatch",10000,""))))))))))))))</f>
        <v/>
      </c>
      <c r="H445" s="11" t="str">
        <f aca="false">IF(OR(F445="",G445=""),"",F445*G445)</f>
        <v/>
      </c>
      <c r="I445" s="12"/>
      <c r="J445" s="12"/>
    </row>
    <row r="446" customFormat="false" ht="18.75" hidden="false" customHeight="true" outlineLevel="0" collapsed="false">
      <c r="B446" s="13" t="n">
        <v>442</v>
      </c>
      <c r="C446" s="14"/>
      <c r="D446" s="15"/>
      <c r="E446" s="16"/>
      <c r="F446" s="17"/>
      <c r="G446" s="10" t="str">
        <f aca="false">IF(D446="","",IF(D446="EarPods",1500,IF(D446="Button Phone",6000,IF(D446="Memory Card",1000,IF(D446="Charger",1200,IF(D446="Tripod Stand",4500,IF(D446="Selfie Stick",2500,IF(D446="Cables",800,IF(D446="Ringlight",8500,IF(D446="Speakers",5500,IF(D446="Wireless Mic",7000,IF(D446="Mouse",3200,IF(D446="Powerbanks",6000,IF(D446="Smartwatch",10000,""))))))))))))))</f>
        <v/>
      </c>
      <c r="H446" s="11" t="str">
        <f aca="false">IF(OR(F446="",G446=""),"",F446*G446)</f>
        <v/>
      </c>
      <c r="I446" s="18"/>
      <c r="J446" s="18"/>
    </row>
    <row r="447" customFormat="false" ht="18.75" hidden="false" customHeight="true" outlineLevel="0" collapsed="false">
      <c r="B447" s="5" t="n">
        <v>443</v>
      </c>
      <c r="C447" s="6"/>
      <c r="D447" s="7"/>
      <c r="E447" s="8"/>
      <c r="F447" s="9"/>
      <c r="G447" s="10" t="str">
        <f aca="false">IF(D447="","",IF(D447="EarPods",1500,IF(D447="Button Phone",6000,IF(D447="Memory Card",1000,IF(D447="Charger",1200,IF(D447="Tripod Stand",4500,IF(D447="Selfie Stick",2500,IF(D447="Cables",800,IF(D447="Ringlight",8500,IF(D447="Speakers",5500,IF(D447="Wireless Mic",7000,IF(D447="Mouse",3200,IF(D447="Powerbanks",6000,IF(D447="Smartwatch",10000,""))))))))))))))</f>
        <v/>
      </c>
      <c r="H447" s="11" t="str">
        <f aca="false">IF(OR(F447="",G447=""),"",F447*G447)</f>
        <v/>
      </c>
      <c r="I447" s="12"/>
      <c r="J447" s="12"/>
    </row>
    <row r="448" customFormat="false" ht="18.75" hidden="false" customHeight="true" outlineLevel="0" collapsed="false">
      <c r="B448" s="13" t="n">
        <v>444</v>
      </c>
      <c r="C448" s="14"/>
      <c r="D448" s="15"/>
      <c r="E448" s="16"/>
      <c r="F448" s="17"/>
      <c r="G448" s="10" t="str">
        <f aca="false">IF(D448="","",IF(D448="EarPods",1500,IF(D448="Button Phone",6000,IF(D448="Memory Card",1000,IF(D448="Charger",1200,IF(D448="Tripod Stand",4500,IF(D448="Selfie Stick",2500,IF(D448="Cables",800,IF(D448="Ringlight",8500,IF(D448="Speakers",5500,IF(D448="Wireless Mic",7000,IF(D448="Mouse",3200,IF(D448="Powerbanks",6000,IF(D448="Smartwatch",10000,""))))))))))))))</f>
        <v/>
      </c>
      <c r="H448" s="11" t="str">
        <f aca="false">IF(OR(F448="",G448=""),"",F448*G448)</f>
        <v/>
      </c>
      <c r="I448" s="18"/>
      <c r="J448" s="18"/>
    </row>
    <row r="449" customFormat="false" ht="18.75" hidden="false" customHeight="true" outlineLevel="0" collapsed="false">
      <c r="B449" s="5" t="n">
        <v>445</v>
      </c>
      <c r="C449" s="6"/>
      <c r="D449" s="7"/>
      <c r="E449" s="8"/>
      <c r="F449" s="9"/>
      <c r="G449" s="10" t="str">
        <f aca="false">IF(D449="","",IF(D449="EarPods",1500,IF(D449="Button Phone",6000,IF(D449="Memory Card",1000,IF(D449="Charger",1200,IF(D449="Tripod Stand",4500,IF(D449="Selfie Stick",2500,IF(D449="Cables",800,IF(D449="Ringlight",8500,IF(D449="Speakers",5500,IF(D449="Wireless Mic",7000,IF(D449="Mouse",3200,IF(D449="Powerbanks",6000,IF(D449="Smartwatch",10000,""))))))))))))))</f>
        <v/>
      </c>
      <c r="H449" s="11" t="str">
        <f aca="false">IF(OR(F449="",G449=""),"",F449*G449)</f>
        <v/>
      </c>
      <c r="I449" s="12"/>
      <c r="J449" s="12"/>
    </row>
    <row r="450" customFormat="false" ht="18.75" hidden="false" customHeight="true" outlineLevel="0" collapsed="false">
      <c r="B450" s="13" t="n">
        <v>446</v>
      </c>
      <c r="C450" s="14"/>
      <c r="D450" s="15"/>
      <c r="E450" s="16"/>
      <c r="F450" s="17"/>
      <c r="G450" s="10" t="str">
        <f aca="false">IF(D450="","",IF(D450="EarPods",1500,IF(D450="Button Phone",6000,IF(D450="Memory Card",1000,IF(D450="Charger",1200,IF(D450="Tripod Stand",4500,IF(D450="Selfie Stick",2500,IF(D450="Cables",800,IF(D450="Ringlight",8500,IF(D450="Speakers",5500,IF(D450="Wireless Mic",7000,IF(D450="Mouse",3200,IF(D450="Powerbanks",6000,IF(D450="Smartwatch",10000,""))))))))))))))</f>
        <v/>
      </c>
      <c r="H450" s="11" t="str">
        <f aca="false">IF(OR(F450="",G450=""),"",F450*G450)</f>
        <v/>
      </c>
      <c r="I450" s="18"/>
      <c r="J450" s="18"/>
    </row>
    <row r="451" customFormat="false" ht="18.75" hidden="false" customHeight="true" outlineLevel="0" collapsed="false">
      <c r="B451" s="5" t="n">
        <v>447</v>
      </c>
      <c r="C451" s="6"/>
      <c r="D451" s="7"/>
      <c r="E451" s="8"/>
      <c r="F451" s="9"/>
      <c r="G451" s="10" t="str">
        <f aca="false">IF(D451="","",IF(D451="EarPods",1500,IF(D451="Button Phone",6000,IF(D451="Memory Card",1000,IF(D451="Charger",1200,IF(D451="Tripod Stand",4500,IF(D451="Selfie Stick",2500,IF(D451="Cables",800,IF(D451="Ringlight",8500,IF(D451="Speakers",5500,IF(D451="Wireless Mic",7000,IF(D451="Mouse",3200,IF(D451="Powerbanks",6000,IF(D451="Smartwatch",10000,""))))))))))))))</f>
        <v/>
      </c>
      <c r="H451" s="11" t="str">
        <f aca="false">IF(OR(F451="",G451=""),"",F451*G451)</f>
        <v/>
      </c>
      <c r="I451" s="12"/>
      <c r="J451" s="12"/>
    </row>
    <row r="452" customFormat="false" ht="18.75" hidden="false" customHeight="true" outlineLevel="0" collapsed="false">
      <c r="B452" s="13" t="n">
        <v>448</v>
      </c>
      <c r="C452" s="14"/>
      <c r="D452" s="15"/>
      <c r="E452" s="16"/>
      <c r="F452" s="17"/>
      <c r="G452" s="10" t="str">
        <f aca="false">IF(D452="","",IF(D452="EarPods",1500,IF(D452="Button Phone",6000,IF(D452="Memory Card",1000,IF(D452="Charger",1200,IF(D452="Tripod Stand",4500,IF(D452="Selfie Stick",2500,IF(D452="Cables",800,IF(D452="Ringlight",8500,IF(D452="Speakers",5500,IF(D452="Wireless Mic",7000,IF(D452="Mouse",3200,IF(D452="Powerbanks",6000,IF(D452="Smartwatch",10000,""))))))))))))))</f>
        <v/>
      </c>
      <c r="H452" s="11" t="str">
        <f aca="false">IF(OR(F452="",G452=""),"",F452*G452)</f>
        <v/>
      </c>
      <c r="I452" s="18"/>
      <c r="J452" s="18"/>
    </row>
    <row r="453" customFormat="false" ht="18.75" hidden="false" customHeight="true" outlineLevel="0" collapsed="false">
      <c r="B453" s="5" t="n">
        <v>449</v>
      </c>
      <c r="C453" s="6"/>
      <c r="D453" s="7"/>
      <c r="E453" s="8"/>
      <c r="F453" s="9"/>
      <c r="G453" s="10" t="str">
        <f aca="false">IF(D453="","",IF(D453="EarPods",1500,IF(D453="Button Phone",6000,IF(D453="Memory Card",1000,IF(D453="Charger",1200,IF(D453="Tripod Stand",4500,IF(D453="Selfie Stick",2500,IF(D453="Cables",800,IF(D453="Ringlight",8500,IF(D453="Speakers",5500,IF(D453="Wireless Mic",7000,IF(D453="Mouse",3200,IF(D453="Powerbanks",6000,IF(D453="Smartwatch",10000,""))))))))))))))</f>
        <v/>
      </c>
      <c r="H453" s="11" t="str">
        <f aca="false">IF(OR(F453="",G453=""),"",F453*G453)</f>
        <v/>
      </c>
      <c r="I453" s="12"/>
      <c r="J453" s="12"/>
    </row>
    <row r="454" customFormat="false" ht="18.75" hidden="false" customHeight="true" outlineLevel="0" collapsed="false">
      <c r="B454" s="13" t="n">
        <v>450</v>
      </c>
      <c r="C454" s="14"/>
      <c r="D454" s="15"/>
      <c r="E454" s="16"/>
      <c r="F454" s="17"/>
      <c r="G454" s="10" t="str">
        <f aca="false">IF(D454="","",IF(D454="EarPods",1500,IF(D454="Button Phone",6000,IF(D454="Memory Card",1000,IF(D454="Charger",1200,IF(D454="Tripod Stand",4500,IF(D454="Selfie Stick",2500,IF(D454="Cables",800,IF(D454="Ringlight",8500,IF(D454="Speakers",5500,IF(D454="Wireless Mic",7000,IF(D454="Mouse",3200,IF(D454="Powerbanks",6000,IF(D454="Smartwatch",10000,""))))))))))))))</f>
        <v/>
      </c>
      <c r="H454" s="11" t="str">
        <f aca="false">IF(OR(F454="",G454=""),"",F454*G454)</f>
        <v/>
      </c>
      <c r="I454" s="18"/>
      <c r="J454" s="18"/>
    </row>
    <row r="455" customFormat="false" ht="18.75" hidden="false" customHeight="true" outlineLevel="0" collapsed="false">
      <c r="B455" s="5" t="n">
        <v>451</v>
      </c>
      <c r="C455" s="6"/>
      <c r="D455" s="7"/>
      <c r="E455" s="8"/>
      <c r="F455" s="9"/>
      <c r="G455" s="10" t="str">
        <f aca="false">IF(D455="","",IF(D455="EarPods",1500,IF(D455="Button Phone",6000,IF(D455="Memory Card",1000,IF(D455="Charger",1200,IF(D455="Tripod Stand",4500,IF(D455="Selfie Stick",2500,IF(D455="Cables",800,IF(D455="Ringlight",8500,IF(D455="Speakers",5500,IF(D455="Wireless Mic",7000,IF(D455="Mouse",3200,IF(D455="Powerbanks",6000,IF(D455="Smartwatch",10000,""))))))))))))))</f>
        <v/>
      </c>
      <c r="H455" s="11" t="str">
        <f aca="false">IF(OR(F455="",G455=""),"",F455*G455)</f>
        <v/>
      </c>
      <c r="I455" s="12"/>
      <c r="J455" s="12"/>
    </row>
    <row r="456" customFormat="false" ht="18.75" hidden="false" customHeight="true" outlineLevel="0" collapsed="false">
      <c r="B456" s="13" t="n">
        <v>452</v>
      </c>
      <c r="C456" s="14"/>
      <c r="D456" s="15"/>
      <c r="E456" s="16"/>
      <c r="F456" s="17"/>
      <c r="G456" s="10" t="str">
        <f aca="false">IF(D456="","",IF(D456="EarPods",1500,IF(D456="Button Phone",6000,IF(D456="Memory Card",1000,IF(D456="Charger",1200,IF(D456="Tripod Stand",4500,IF(D456="Selfie Stick",2500,IF(D456="Cables",800,IF(D456="Ringlight",8500,IF(D456="Speakers",5500,IF(D456="Wireless Mic",7000,IF(D456="Mouse",3200,IF(D456="Powerbanks",6000,IF(D456="Smartwatch",10000,""))))))))))))))</f>
        <v/>
      </c>
      <c r="H456" s="11" t="str">
        <f aca="false">IF(OR(F456="",G456=""),"",F456*G456)</f>
        <v/>
      </c>
      <c r="I456" s="18"/>
      <c r="J456" s="18"/>
    </row>
    <row r="457" customFormat="false" ht="18.75" hidden="false" customHeight="true" outlineLevel="0" collapsed="false">
      <c r="B457" s="5" t="n">
        <v>453</v>
      </c>
      <c r="C457" s="6"/>
      <c r="D457" s="7"/>
      <c r="E457" s="8"/>
      <c r="F457" s="9"/>
      <c r="G457" s="10" t="str">
        <f aca="false">IF(D457="","",IF(D457="EarPods",1500,IF(D457="Button Phone",6000,IF(D457="Memory Card",1000,IF(D457="Charger",1200,IF(D457="Tripod Stand",4500,IF(D457="Selfie Stick",2500,IF(D457="Cables",800,IF(D457="Ringlight",8500,IF(D457="Speakers",5500,IF(D457="Wireless Mic",7000,IF(D457="Mouse",3200,IF(D457="Powerbanks",6000,IF(D457="Smartwatch",10000,""))))))))))))))</f>
        <v/>
      </c>
      <c r="H457" s="11" t="str">
        <f aca="false">IF(OR(F457="",G457=""),"",F457*G457)</f>
        <v/>
      </c>
      <c r="I457" s="12"/>
      <c r="J457" s="12"/>
    </row>
    <row r="458" customFormat="false" ht="18.75" hidden="false" customHeight="true" outlineLevel="0" collapsed="false">
      <c r="B458" s="13" t="n">
        <v>454</v>
      </c>
      <c r="C458" s="14"/>
      <c r="D458" s="15"/>
      <c r="E458" s="16"/>
      <c r="F458" s="17"/>
      <c r="G458" s="10" t="str">
        <f aca="false">IF(D458="","",IF(D458="EarPods",1500,IF(D458="Button Phone",6000,IF(D458="Memory Card",1000,IF(D458="Charger",1200,IF(D458="Tripod Stand",4500,IF(D458="Selfie Stick",2500,IF(D458="Cables",800,IF(D458="Ringlight",8500,IF(D458="Speakers",5500,IF(D458="Wireless Mic",7000,IF(D458="Mouse",3200,IF(D458="Powerbanks",6000,IF(D458="Smartwatch",10000,""))))))))))))))</f>
        <v/>
      </c>
      <c r="H458" s="11" t="str">
        <f aca="false">IF(OR(F458="",G458=""),"",F458*G458)</f>
        <v/>
      </c>
      <c r="I458" s="18"/>
      <c r="J458" s="18"/>
    </row>
    <row r="459" customFormat="false" ht="18.75" hidden="false" customHeight="true" outlineLevel="0" collapsed="false">
      <c r="B459" s="5" t="n">
        <v>455</v>
      </c>
      <c r="C459" s="6"/>
      <c r="D459" s="7"/>
      <c r="E459" s="8"/>
      <c r="F459" s="9"/>
      <c r="G459" s="10" t="str">
        <f aca="false">IF(D459="","",IF(D459="EarPods",1500,IF(D459="Button Phone",6000,IF(D459="Memory Card",1000,IF(D459="Charger",1200,IF(D459="Tripod Stand",4500,IF(D459="Selfie Stick",2500,IF(D459="Cables",800,IF(D459="Ringlight",8500,IF(D459="Speakers",5500,IF(D459="Wireless Mic",7000,IF(D459="Mouse",3200,IF(D459="Powerbanks",6000,IF(D459="Smartwatch",10000,""))))))))))))))</f>
        <v/>
      </c>
      <c r="H459" s="11" t="str">
        <f aca="false">IF(OR(F459="",G459=""),"",F459*G459)</f>
        <v/>
      </c>
      <c r="I459" s="12"/>
      <c r="J459" s="12"/>
    </row>
    <row r="460" customFormat="false" ht="18.75" hidden="false" customHeight="true" outlineLevel="0" collapsed="false">
      <c r="B460" s="13" t="n">
        <v>456</v>
      </c>
      <c r="C460" s="14"/>
      <c r="D460" s="15"/>
      <c r="E460" s="16"/>
      <c r="F460" s="17"/>
      <c r="G460" s="10" t="str">
        <f aca="false">IF(D460="","",IF(D460="EarPods",1500,IF(D460="Button Phone",6000,IF(D460="Memory Card",1000,IF(D460="Charger",1200,IF(D460="Tripod Stand",4500,IF(D460="Selfie Stick",2500,IF(D460="Cables",800,IF(D460="Ringlight",8500,IF(D460="Speakers",5500,IF(D460="Wireless Mic",7000,IF(D460="Mouse",3200,IF(D460="Powerbanks",6000,IF(D460="Smartwatch",10000,""))))))))))))))</f>
        <v/>
      </c>
      <c r="H460" s="11" t="str">
        <f aca="false">IF(OR(F460="",G460=""),"",F460*G460)</f>
        <v/>
      </c>
      <c r="I460" s="18"/>
      <c r="J460" s="18"/>
    </row>
    <row r="461" customFormat="false" ht="18.75" hidden="false" customHeight="true" outlineLevel="0" collapsed="false">
      <c r="B461" s="5" t="n">
        <v>457</v>
      </c>
      <c r="C461" s="6"/>
      <c r="D461" s="7"/>
      <c r="E461" s="8"/>
      <c r="F461" s="9"/>
      <c r="G461" s="10" t="str">
        <f aca="false">IF(D461="","",IF(D461="EarPods",1500,IF(D461="Button Phone",6000,IF(D461="Memory Card",1000,IF(D461="Charger",1200,IF(D461="Tripod Stand",4500,IF(D461="Selfie Stick",2500,IF(D461="Cables",800,IF(D461="Ringlight",8500,IF(D461="Speakers",5500,IF(D461="Wireless Mic",7000,IF(D461="Mouse",3200,IF(D461="Powerbanks",6000,IF(D461="Smartwatch",10000,""))))))))))))))</f>
        <v/>
      </c>
      <c r="H461" s="11" t="str">
        <f aca="false">IF(OR(F461="",G461=""),"",F461*G461)</f>
        <v/>
      </c>
      <c r="I461" s="12"/>
      <c r="J461" s="12"/>
    </row>
    <row r="462" customFormat="false" ht="18.75" hidden="false" customHeight="true" outlineLevel="0" collapsed="false">
      <c r="B462" s="13" t="n">
        <v>458</v>
      </c>
      <c r="C462" s="14"/>
      <c r="D462" s="15"/>
      <c r="E462" s="16"/>
      <c r="F462" s="17"/>
      <c r="G462" s="10" t="str">
        <f aca="false">IF(D462="","",IF(D462="EarPods",1500,IF(D462="Button Phone",6000,IF(D462="Memory Card",1000,IF(D462="Charger",1200,IF(D462="Tripod Stand",4500,IF(D462="Selfie Stick",2500,IF(D462="Cables",800,IF(D462="Ringlight",8500,IF(D462="Speakers",5500,IF(D462="Wireless Mic",7000,IF(D462="Mouse",3200,IF(D462="Powerbanks",6000,IF(D462="Smartwatch",10000,""))))))))))))))</f>
        <v/>
      </c>
      <c r="H462" s="11" t="str">
        <f aca="false">IF(OR(F462="",G462=""),"",F462*G462)</f>
        <v/>
      </c>
      <c r="I462" s="18"/>
      <c r="J462" s="18"/>
    </row>
    <row r="463" customFormat="false" ht="18.75" hidden="false" customHeight="true" outlineLevel="0" collapsed="false">
      <c r="B463" s="5" t="n">
        <v>459</v>
      </c>
      <c r="C463" s="6"/>
      <c r="D463" s="7"/>
      <c r="E463" s="8"/>
      <c r="F463" s="9"/>
      <c r="G463" s="10" t="str">
        <f aca="false">IF(D463="","",IF(D463="EarPods",1500,IF(D463="Button Phone",6000,IF(D463="Memory Card",1000,IF(D463="Charger",1200,IF(D463="Tripod Stand",4500,IF(D463="Selfie Stick",2500,IF(D463="Cables",800,IF(D463="Ringlight",8500,IF(D463="Speakers",5500,IF(D463="Wireless Mic",7000,IF(D463="Mouse",3200,IF(D463="Powerbanks",6000,IF(D463="Smartwatch",10000,""))))))))))))))</f>
        <v/>
      </c>
      <c r="H463" s="11" t="str">
        <f aca="false">IF(OR(F463="",G463=""),"",F463*G463)</f>
        <v/>
      </c>
      <c r="I463" s="12"/>
      <c r="J463" s="12"/>
    </row>
    <row r="464" customFormat="false" ht="18.75" hidden="false" customHeight="true" outlineLevel="0" collapsed="false">
      <c r="B464" s="13" t="n">
        <v>460</v>
      </c>
      <c r="C464" s="14"/>
      <c r="D464" s="15"/>
      <c r="E464" s="16"/>
      <c r="F464" s="17"/>
      <c r="G464" s="10" t="str">
        <f aca="false">IF(D464="","",IF(D464="EarPods",1500,IF(D464="Button Phone",6000,IF(D464="Memory Card",1000,IF(D464="Charger",1200,IF(D464="Tripod Stand",4500,IF(D464="Selfie Stick",2500,IF(D464="Cables",800,IF(D464="Ringlight",8500,IF(D464="Speakers",5500,IF(D464="Wireless Mic",7000,IF(D464="Mouse",3200,IF(D464="Powerbanks",6000,IF(D464="Smartwatch",10000,""))))))))))))))</f>
        <v/>
      </c>
      <c r="H464" s="11" t="str">
        <f aca="false">IF(OR(F464="",G464=""),"",F464*G464)</f>
        <v/>
      </c>
      <c r="I464" s="18"/>
      <c r="J464" s="18"/>
    </row>
    <row r="465" customFormat="false" ht="18.75" hidden="false" customHeight="true" outlineLevel="0" collapsed="false">
      <c r="B465" s="5" t="n">
        <v>461</v>
      </c>
      <c r="C465" s="6"/>
      <c r="D465" s="7"/>
      <c r="E465" s="8"/>
      <c r="F465" s="9"/>
      <c r="G465" s="10" t="str">
        <f aca="false">IF(D465="","",IF(D465="EarPods",1500,IF(D465="Button Phone",6000,IF(D465="Memory Card",1000,IF(D465="Charger",1200,IF(D465="Tripod Stand",4500,IF(D465="Selfie Stick",2500,IF(D465="Cables",800,IF(D465="Ringlight",8500,IF(D465="Speakers",5500,IF(D465="Wireless Mic",7000,IF(D465="Mouse",3200,IF(D465="Powerbanks",6000,IF(D465="Smartwatch",10000,""))))))))))))))</f>
        <v/>
      </c>
      <c r="H465" s="11" t="str">
        <f aca="false">IF(OR(F465="",G465=""),"",F465*G465)</f>
        <v/>
      </c>
      <c r="I465" s="12"/>
      <c r="J465" s="12"/>
    </row>
    <row r="466" customFormat="false" ht="18.75" hidden="false" customHeight="true" outlineLevel="0" collapsed="false">
      <c r="B466" s="13" t="n">
        <v>462</v>
      </c>
      <c r="C466" s="14"/>
      <c r="D466" s="15"/>
      <c r="E466" s="16"/>
      <c r="F466" s="17"/>
      <c r="G466" s="10" t="str">
        <f aca="false">IF(D466="","",IF(D466="EarPods",1500,IF(D466="Button Phone",6000,IF(D466="Memory Card",1000,IF(D466="Charger",1200,IF(D466="Tripod Stand",4500,IF(D466="Selfie Stick",2500,IF(D466="Cables",800,IF(D466="Ringlight",8500,IF(D466="Speakers",5500,IF(D466="Wireless Mic",7000,IF(D466="Mouse",3200,IF(D466="Powerbanks",6000,IF(D466="Smartwatch",10000,""))))))))))))))</f>
        <v/>
      </c>
      <c r="H466" s="11" t="str">
        <f aca="false">IF(OR(F466="",G466=""),"",F466*G466)</f>
        <v/>
      </c>
      <c r="I466" s="18"/>
      <c r="J466" s="18"/>
    </row>
    <row r="467" customFormat="false" ht="18.75" hidden="false" customHeight="true" outlineLevel="0" collapsed="false">
      <c r="B467" s="5" t="n">
        <v>463</v>
      </c>
      <c r="C467" s="6"/>
      <c r="D467" s="7"/>
      <c r="E467" s="8"/>
      <c r="F467" s="9"/>
      <c r="G467" s="10" t="str">
        <f aca="false">IF(D467="","",IF(D467="EarPods",1500,IF(D467="Button Phone",6000,IF(D467="Memory Card",1000,IF(D467="Charger",1200,IF(D467="Tripod Stand",4500,IF(D467="Selfie Stick",2500,IF(D467="Cables",800,IF(D467="Ringlight",8500,IF(D467="Speakers",5500,IF(D467="Wireless Mic",7000,IF(D467="Mouse",3200,IF(D467="Powerbanks",6000,IF(D467="Smartwatch",10000,""))))))))))))))</f>
        <v/>
      </c>
      <c r="H467" s="11" t="str">
        <f aca="false">IF(OR(F467="",G467=""),"",F467*G467)</f>
        <v/>
      </c>
      <c r="I467" s="12"/>
      <c r="J467" s="12"/>
    </row>
    <row r="468" customFormat="false" ht="18.75" hidden="false" customHeight="true" outlineLevel="0" collapsed="false">
      <c r="B468" s="13" t="n">
        <v>464</v>
      </c>
      <c r="C468" s="14"/>
      <c r="D468" s="15"/>
      <c r="E468" s="16"/>
      <c r="F468" s="17"/>
      <c r="G468" s="10" t="str">
        <f aca="false">IF(D468="","",IF(D468="EarPods",1500,IF(D468="Button Phone",6000,IF(D468="Memory Card",1000,IF(D468="Charger",1200,IF(D468="Tripod Stand",4500,IF(D468="Selfie Stick",2500,IF(D468="Cables",800,IF(D468="Ringlight",8500,IF(D468="Speakers",5500,IF(D468="Wireless Mic",7000,IF(D468="Mouse",3200,IF(D468="Powerbanks",6000,IF(D468="Smartwatch",10000,""))))))))))))))</f>
        <v/>
      </c>
      <c r="H468" s="11" t="str">
        <f aca="false">IF(OR(F468="",G468=""),"",F468*G468)</f>
        <v/>
      </c>
      <c r="I468" s="18"/>
      <c r="J468" s="18"/>
    </row>
    <row r="469" customFormat="false" ht="18.75" hidden="false" customHeight="true" outlineLevel="0" collapsed="false">
      <c r="B469" s="5" t="n">
        <v>465</v>
      </c>
      <c r="C469" s="6"/>
      <c r="D469" s="7"/>
      <c r="E469" s="8"/>
      <c r="F469" s="9"/>
      <c r="G469" s="10" t="str">
        <f aca="false">IF(D469="","",IF(D469="EarPods",1500,IF(D469="Button Phone",6000,IF(D469="Memory Card",1000,IF(D469="Charger",1200,IF(D469="Tripod Stand",4500,IF(D469="Selfie Stick",2500,IF(D469="Cables",800,IF(D469="Ringlight",8500,IF(D469="Speakers",5500,IF(D469="Wireless Mic",7000,IF(D469="Mouse",3200,IF(D469="Powerbanks",6000,IF(D469="Smartwatch",10000,""))))))))))))))</f>
        <v/>
      </c>
      <c r="H469" s="11" t="str">
        <f aca="false">IF(OR(F469="",G469=""),"",F469*G469)</f>
        <v/>
      </c>
      <c r="I469" s="12"/>
      <c r="J469" s="12"/>
    </row>
    <row r="470" customFormat="false" ht="18.75" hidden="false" customHeight="true" outlineLevel="0" collapsed="false">
      <c r="B470" s="13" t="n">
        <v>466</v>
      </c>
      <c r="C470" s="14"/>
      <c r="D470" s="15"/>
      <c r="E470" s="16"/>
      <c r="F470" s="17"/>
      <c r="G470" s="10" t="str">
        <f aca="false">IF(D470="","",IF(D470="EarPods",1500,IF(D470="Button Phone",6000,IF(D470="Memory Card",1000,IF(D470="Charger",1200,IF(D470="Tripod Stand",4500,IF(D470="Selfie Stick",2500,IF(D470="Cables",800,IF(D470="Ringlight",8500,IF(D470="Speakers",5500,IF(D470="Wireless Mic",7000,IF(D470="Mouse",3200,IF(D470="Powerbanks",6000,IF(D470="Smartwatch",10000,""))))))))))))))</f>
        <v/>
      </c>
      <c r="H470" s="11" t="str">
        <f aca="false">IF(OR(F470="",G470=""),"",F470*G470)</f>
        <v/>
      </c>
      <c r="I470" s="18"/>
      <c r="J470" s="18"/>
    </row>
    <row r="471" customFormat="false" ht="18.75" hidden="false" customHeight="true" outlineLevel="0" collapsed="false">
      <c r="B471" s="5" t="n">
        <v>467</v>
      </c>
      <c r="C471" s="6"/>
      <c r="D471" s="7"/>
      <c r="E471" s="8"/>
      <c r="F471" s="9"/>
      <c r="G471" s="10" t="str">
        <f aca="false">IF(D471="","",IF(D471="EarPods",1500,IF(D471="Button Phone",6000,IF(D471="Memory Card",1000,IF(D471="Charger",1200,IF(D471="Tripod Stand",4500,IF(D471="Selfie Stick",2500,IF(D471="Cables",800,IF(D471="Ringlight",8500,IF(D471="Speakers",5500,IF(D471="Wireless Mic",7000,IF(D471="Mouse",3200,IF(D471="Powerbanks",6000,IF(D471="Smartwatch",10000,""))))))))))))))</f>
        <v/>
      </c>
      <c r="H471" s="11" t="str">
        <f aca="false">IF(OR(F471="",G471=""),"",F471*G471)</f>
        <v/>
      </c>
      <c r="I471" s="12"/>
      <c r="J471" s="12"/>
    </row>
    <row r="472" customFormat="false" ht="18.75" hidden="false" customHeight="true" outlineLevel="0" collapsed="false">
      <c r="B472" s="13" t="n">
        <v>468</v>
      </c>
      <c r="C472" s="14"/>
      <c r="D472" s="15"/>
      <c r="E472" s="16"/>
      <c r="F472" s="17"/>
      <c r="G472" s="10" t="str">
        <f aca="false">IF(D472="","",IF(D472="EarPods",1500,IF(D472="Button Phone",6000,IF(D472="Memory Card",1000,IF(D472="Charger",1200,IF(D472="Tripod Stand",4500,IF(D472="Selfie Stick",2500,IF(D472="Cables",800,IF(D472="Ringlight",8500,IF(D472="Speakers",5500,IF(D472="Wireless Mic",7000,IF(D472="Mouse",3200,IF(D472="Powerbanks",6000,IF(D472="Smartwatch",10000,""))))))))))))))</f>
        <v/>
      </c>
      <c r="H472" s="11" t="str">
        <f aca="false">IF(OR(F472="",G472=""),"",F472*G472)</f>
        <v/>
      </c>
      <c r="I472" s="18"/>
      <c r="J472" s="18"/>
    </row>
    <row r="473" customFormat="false" ht="18.75" hidden="false" customHeight="true" outlineLevel="0" collapsed="false">
      <c r="B473" s="5" t="n">
        <v>469</v>
      </c>
      <c r="C473" s="6"/>
      <c r="D473" s="7"/>
      <c r="E473" s="8"/>
      <c r="F473" s="9"/>
      <c r="G473" s="10" t="str">
        <f aca="false">IF(D473="","",IF(D473="EarPods",1500,IF(D473="Button Phone",6000,IF(D473="Memory Card",1000,IF(D473="Charger",1200,IF(D473="Tripod Stand",4500,IF(D473="Selfie Stick",2500,IF(D473="Cables",800,IF(D473="Ringlight",8500,IF(D473="Speakers",5500,IF(D473="Wireless Mic",7000,IF(D473="Mouse",3200,IF(D473="Powerbanks",6000,IF(D473="Smartwatch",10000,""))))))))))))))</f>
        <v/>
      </c>
      <c r="H473" s="11" t="str">
        <f aca="false">IF(OR(F473="",G473=""),"",F473*G473)</f>
        <v/>
      </c>
      <c r="I473" s="12"/>
      <c r="J473" s="12"/>
    </row>
    <row r="474" customFormat="false" ht="18.75" hidden="false" customHeight="true" outlineLevel="0" collapsed="false">
      <c r="B474" s="13" t="n">
        <v>470</v>
      </c>
      <c r="C474" s="14"/>
      <c r="D474" s="15"/>
      <c r="E474" s="16"/>
      <c r="F474" s="17"/>
      <c r="G474" s="10" t="str">
        <f aca="false">IF(D474="","",IF(D474="EarPods",1500,IF(D474="Button Phone",6000,IF(D474="Memory Card",1000,IF(D474="Charger",1200,IF(D474="Tripod Stand",4500,IF(D474="Selfie Stick",2500,IF(D474="Cables",800,IF(D474="Ringlight",8500,IF(D474="Speakers",5500,IF(D474="Wireless Mic",7000,IF(D474="Mouse",3200,IF(D474="Powerbanks",6000,IF(D474="Smartwatch",10000,""))))))))))))))</f>
        <v/>
      </c>
      <c r="H474" s="11" t="str">
        <f aca="false">IF(OR(F474="",G474=""),"",F474*G474)</f>
        <v/>
      </c>
      <c r="I474" s="18"/>
      <c r="J474" s="18"/>
    </row>
    <row r="475" customFormat="false" ht="18.75" hidden="false" customHeight="true" outlineLevel="0" collapsed="false">
      <c r="B475" s="5" t="n">
        <v>471</v>
      </c>
      <c r="C475" s="6"/>
      <c r="D475" s="7"/>
      <c r="E475" s="8"/>
      <c r="F475" s="9"/>
      <c r="G475" s="10" t="str">
        <f aca="false">IF(D475="","",IF(D475="EarPods",1500,IF(D475="Button Phone",6000,IF(D475="Memory Card",1000,IF(D475="Charger",1200,IF(D475="Tripod Stand",4500,IF(D475="Selfie Stick",2500,IF(D475="Cables",800,IF(D475="Ringlight",8500,IF(D475="Speakers",5500,IF(D475="Wireless Mic",7000,IF(D475="Mouse",3200,IF(D475="Powerbanks",6000,IF(D475="Smartwatch",10000,""))))))))))))))</f>
        <v/>
      </c>
      <c r="H475" s="11" t="str">
        <f aca="false">IF(OR(F475="",G475=""),"",F475*G475)</f>
        <v/>
      </c>
      <c r="I475" s="12"/>
      <c r="J475" s="12"/>
    </row>
    <row r="476" customFormat="false" ht="18.75" hidden="false" customHeight="true" outlineLevel="0" collapsed="false">
      <c r="B476" s="13" t="n">
        <v>472</v>
      </c>
      <c r="C476" s="14"/>
      <c r="D476" s="15"/>
      <c r="E476" s="16"/>
      <c r="F476" s="17"/>
      <c r="G476" s="10" t="str">
        <f aca="false">IF(D476="","",IF(D476="EarPods",1500,IF(D476="Button Phone",6000,IF(D476="Memory Card",1000,IF(D476="Charger",1200,IF(D476="Tripod Stand",4500,IF(D476="Selfie Stick",2500,IF(D476="Cables",800,IF(D476="Ringlight",8500,IF(D476="Speakers",5500,IF(D476="Wireless Mic",7000,IF(D476="Mouse",3200,IF(D476="Powerbanks",6000,IF(D476="Smartwatch",10000,""))))))))))))))</f>
        <v/>
      </c>
      <c r="H476" s="11" t="str">
        <f aca="false">IF(OR(F476="",G476=""),"",F476*G476)</f>
        <v/>
      </c>
      <c r="I476" s="18"/>
      <c r="J476" s="18"/>
    </row>
    <row r="477" customFormat="false" ht="18.75" hidden="false" customHeight="true" outlineLevel="0" collapsed="false">
      <c r="B477" s="5" t="n">
        <v>473</v>
      </c>
      <c r="C477" s="6"/>
      <c r="D477" s="7"/>
      <c r="E477" s="8"/>
      <c r="F477" s="9"/>
      <c r="G477" s="10" t="str">
        <f aca="false">IF(D477="","",IF(D477="EarPods",1500,IF(D477="Button Phone",6000,IF(D477="Memory Card",1000,IF(D477="Charger",1200,IF(D477="Tripod Stand",4500,IF(D477="Selfie Stick",2500,IF(D477="Cables",800,IF(D477="Ringlight",8500,IF(D477="Speakers",5500,IF(D477="Wireless Mic",7000,IF(D477="Mouse",3200,IF(D477="Powerbanks",6000,IF(D477="Smartwatch",10000,""))))))))))))))</f>
        <v/>
      </c>
      <c r="H477" s="11" t="str">
        <f aca="false">IF(OR(F477="",G477=""),"",F477*G477)</f>
        <v/>
      </c>
      <c r="I477" s="12"/>
      <c r="J477" s="12"/>
    </row>
    <row r="478" customFormat="false" ht="18.75" hidden="false" customHeight="true" outlineLevel="0" collapsed="false">
      <c r="B478" s="13" t="n">
        <v>474</v>
      </c>
      <c r="C478" s="14"/>
      <c r="D478" s="15"/>
      <c r="E478" s="16"/>
      <c r="F478" s="17"/>
      <c r="G478" s="10" t="str">
        <f aca="false">IF(D478="","",IF(D478="EarPods",1500,IF(D478="Button Phone",6000,IF(D478="Memory Card",1000,IF(D478="Charger",1200,IF(D478="Tripod Stand",4500,IF(D478="Selfie Stick",2500,IF(D478="Cables",800,IF(D478="Ringlight",8500,IF(D478="Speakers",5500,IF(D478="Wireless Mic",7000,IF(D478="Mouse",3200,IF(D478="Powerbanks",6000,IF(D478="Smartwatch",10000,""))))))))))))))</f>
        <v/>
      </c>
      <c r="H478" s="11" t="str">
        <f aca="false">IF(OR(F478="",G478=""),"",F478*G478)</f>
        <v/>
      </c>
      <c r="I478" s="18"/>
      <c r="J478" s="18"/>
    </row>
    <row r="479" customFormat="false" ht="18.75" hidden="false" customHeight="true" outlineLevel="0" collapsed="false">
      <c r="B479" s="5" t="n">
        <v>475</v>
      </c>
      <c r="C479" s="6"/>
      <c r="D479" s="7"/>
      <c r="E479" s="8"/>
      <c r="F479" s="9"/>
      <c r="G479" s="10" t="str">
        <f aca="false">IF(D479="","",IF(D479="EarPods",1500,IF(D479="Button Phone",6000,IF(D479="Memory Card",1000,IF(D479="Charger",1200,IF(D479="Tripod Stand",4500,IF(D479="Selfie Stick",2500,IF(D479="Cables",800,IF(D479="Ringlight",8500,IF(D479="Speakers",5500,IF(D479="Wireless Mic",7000,IF(D479="Mouse",3200,IF(D479="Powerbanks",6000,IF(D479="Smartwatch",10000,""))))))))))))))</f>
        <v/>
      </c>
      <c r="H479" s="11" t="str">
        <f aca="false">IF(OR(F479="",G479=""),"",F479*G479)</f>
        <v/>
      </c>
      <c r="I479" s="12"/>
      <c r="J479" s="12"/>
    </row>
    <row r="480" customFormat="false" ht="18.75" hidden="false" customHeight="true" outlineLevel="0" collapsed="false">
      <c r="B480" s="13" t="n">
        <v>476</v>
      </c>
      <c r="C480" s="14"/>
      <c r="D480" s="15"/>
      <c r="E480" s="16"/>
      <c r="F480" s="17"/>
      <c r="G480" s="10" t="str">
        <f aca="false">IF(D480="","",IF(D480="EarPods",1500,IF(D480="Button Phone",6000,IF(D480="Memory Card",1000,IF(D480="Charger",1200,IF(D480="Tripod Stand",4500,IF(D480="Selfie Stick",2500,IF(D480="Cables",800,IF(D480="Ringlight",8500,IF(D480="Speakers",5500,IF(D480="Wireless Mic",7000,IF(D480="Mouse",3200,IF(D480="Powerbanks",6000,IF(D480="Smartwatch",10000,""))))))))))))))</f>
        <v/>
      </c>
      <c r="H480" s="11" t="str">
        <f aca="false">IF(OR(F480="",G480=""),"",F480*G480)</f>
        <v/>
      </c>
      <c r="I480" s="18"/>
      <c r="J480" s="18"/>
    </row>
    <row r="481" customFormat="false" ht="18.75" hidden="false" customHeight="true" outlineLevel="0" collapsed="false">
      <c r="B481" s="5" t="n">
        <v>477</v>
      </c>
      <c r="C481" s="6"/>
      <c r="D481" s="7"/>
      <c r="E481" s="8"/>
      <c r="F481" s="9"/>
      <c r="G481" s="10" t="str">
        <f aca="false">IF(D481="","",IF(D481="EarPods",1500,IF(D481="Button Phone",6000,IF(D481="Memory Card",1000,IF(D481="Charger",1200,IF(D481="Tripod Stand",4500,IF(D481="Selfie Stick",2500,IF(D481="Cables",800,IF(D481="Ringlight",8500,IF(D481="Speakers",5500,IF(D481="Wireless Mic",7000,IF(D481="Mouse",3200,IF(D481="Powerbanks",6000,IF(D481="Smartwatch",10000,""))))))))))))))</f>
        <v/>
      </c>
      <c r="H481" s="11" t="str">
        <f aca="false">IF(OR(F481="",G481=""),"",F481*G481)</f>
        <v/>
      </c>
      <c r="I481" s="12"/>
      <c r="J481" s="12"/>
    </row>
    <row r="482" customFormat="false" ht="18.75" hidden="false" customHeight="true" outlineLevel="0" collapsed="false">
      <c r="B482" s="13" t="n">
        <v>478</v>
      </c>
      <c r="C482" s="14"/>
      <c r="D482" s="15"/>
      <c r="E482" s="16"/>
      <c r="F482" s="17"/>
      <c r="G482" s="10" t="str">
        <f aca="false">IF(D482="","",IF(D482="EarPods",1500,IF(D482="Button Phone",6000,IF(D482="Memory Card",1000,IF(D482="Charger",1200,IF(D482="Tripod Stand",4500,IF(D482="Selfie Stick",2500,IF(D482="Cables",800,IF(D482="Ringlight",8500,IF(D482="Speakers",5500,IF(D482="Wireless Mic",7000,IF(D482="Mouse",3200,IF(D482="Powerbanks",6000,IF(D482="Smartwatch",10000,""))))))))))))))</f>
        <v/>
      </c>
      <c r="H482" s="11" t="str">
        <f aca="false">IF(OR(F482="",G482=""),"",F482*G482)</f>
        <v/>
      </c>
      <c r="I482" s="18"/>
      <c r="J482" s="18"/>
    </row>
    <row r="483" customFormat="false" ht="18.75" hidden="false" customHeight="true" outlineLevel="0" collapsed="false">
      <c r="B483" s="5" t="n">
        <v>479</v>
      </c>
      <c r="C483" s="6"/>
      <c r="D483" s="7"/>
      <c r="E483" s="8"/>
      <c r="F483" s="9"/>
      <c r="G483" s="10" t="str">
        <f aca="false">IF(D483="","",IF(D483="EarPods",1500,IF(D483="Button Phone",6000,IF(D483="Memory Card",1000,IF(D483="Charger",1200,IF(D483="Tripod Stand",4500,IF(D483="Selfie Stick",2500,IF(D483="Cables",800,IF(D483="Ringlight",8500,IF(D483="Speakers",5500,IF(D483="Wireless Mic",7000,IF(D483="Mouse",3200,IF(D483="Powerbanks",6000,IF(D483="Smartwatch",10000,""))))))))))))))</f>
        <v/>
      </c>
      <c r="H483" s="11" t="str">
        <f aca="false">IF(OR(F483="",G483=""),"",F483*G483)</f>
        <v/>
      </c>
      <c r="I483" s="12"/>
      <c r="J483" s="12"/>
    </row>
    <row r="484" customFormat="false" ht="18.75" hidden="false" customHeight="true" outlineLevel="0" collapsed="false">
      <c r="B484" s="13" t="n">
        <v>480</v>
      </c>
      <c r="C484" s="14"/>
      <c r="D484" s="15"/>
      <c r="E484" s="16"/>
      <c r="F484" s="17"/>
      <c r="G484" s="10" t="str">
        <f aca="false">IF(D484="","",IF(D484="EarPods",1500,IF(D484="Button Phone",6000,IF(D484="Memory Card",1000,IF(D484="Charger",1200,IF(D484="Tripod Stand",4500,IF(D484="Selfie Stick",2500,IF(D484="Cables",800,IF(D484="Ringlight",8500,IF(D484="Speakers",5500,IF(D484="Wireless Mic",7000,IF(D484="Mouse",3200,IF(D484="Powerbanks",6000,IF(D484="Smartwatch",10000,""))))))))))))))</f>
        <v/>
      </c>
      <c r="H484" s="11" t="str">
        <f aca="false">IF(OR(F484="",G484=""),"",F484*G484)</f>
        <v/>
      </c>
      <c r="I484" s="18"/>
      <c r="J484" s="18"/>
    </row>
    <row r="485" customFormat="false" ht="18.75" hidden="false" customHeight="true" outlineLevel="0" collapsed="false">
      <c r="B485" s="5" t="n">
        <v>481</v>
      </c>
      <c r="C485" s="6"/>
      <c r="D485" s="7"/>
      <c r="E485" s="8"/>
      <c r="F485" s="9"/>
      <c r="G485" s="10" t="str">
        <f aca="false">IF(D485="","",IF(D485="EarPods",1500,IF(D485="Button Phone",6000,IF(D485="Memory Card",1000,IF(D485="Charger",1200,IF(D485="Tripod Stand",4500,IF(D485="Selfie Stick",2500,IF(D485="Cables",800,IF(D485="Ringlight",8500,IF(D485="Speakers",5500,IF(D485="Wireless Mic",7000,IF(D485="Mouse",3200,IF(D485="Powerbanks",6000,IF(D485="Smartwatch",10000,""))))))))))))))</f>
        <v/>
      </c>
      <c r="H485" s="11" t="str">
        <f aca="false">IF(OR(F485="",G485=""),"",F485*G485)</f>
        <v/>
      </c>
      <c r="I485" s="12"/>
      <c r="J485" s="12"/>
    </row>
    <row r="486" customFormat="false" ht="18.75" hidden="false" customHeight="true" outlineLevel="0" collapsed="false">
      <c r="B486" s="13" t="n">
        <v>482</v>
      </c>
      <c r="C486" s="14"/>
      <c r="D486" s="15"/>
      <c r="E486" s="16"/>
      <c r="F486" s="17"/>
      <c r="G486" s="10" t="str">
        <f aca="false">IF(D486="","",IF(D486="EarPods",1500,IF(D486="Button Phone",6000,IF(D486="Memory Card",1000,IF(D486="Charger",1200,IF(D486="Tripod Stand",4500,IF(D486="Selfie Stick",2500,IF(D486="Cables",800,IF(D486="Ringlight",8500,IF(D486="Speakers",5500,IF(D486="Wireless Mic",7000,IF(D486="Mouse",3200,IF(D486="Powerbanks",6000,IF(D486="Smartwatch",10000,""))))))))))))))</f>
        <v/>
      </c>
      <c r="H486" s="11" t="str">
        <f aca="false">IF(OR(F486="",G486=""),"",F486*G486)</f>
        <v/>
      </c>
      <c r="I486" s="18"/>
      <c r="J486" s="18"/>
    </row>
    <row r="487" customFormat="false" ht="18.75" hidden="false" customHeight="true" outlineLevel="0" collapsed="false">
      <c r="B487" s="5" t="n">
        <v>483</v>
      </c>
      <c r="C487" s="6"/>
      <c r="D487" s="7"/>
      <c r="E487" s="8"/>
      <c r="F487" s="9"/>
      <c r="G487" s="10" t="str">
        <f aca="false">IF(D487="","",IF(D487="EarPods",1500,IF(D487="Button Phone",6000,IF(D487="Memory Card",1000,IF(D487="Charger",1200,IF(D487="Tripod Stand",4500,IF(D487="Selfie Stick",2500,IF(D487="Cables",800,IF(D487="Ringlight",8500,IF(D487="Speakers",5500,IF(D487="Wireless Mic",7000,IF(D487="Mouse",3200,IF(D487="Powerbanks",6000,IF(D487="Smartwatch",10000,""))))))))))))))</f>
        <v/>
      </c>
      <c r="H487" s="11" t="str">
        <f aca="false">IF(OR(F487="",G487=""),"",F487*G487)</f>
        <v/>
      </c>
      <c r="I487" s="12"/>
      <c r="J487" s="12"/>
    </row>
    <row r="488" customFormat="false" ht="18.75" hidden="false" customHeight="true" outlineLevel="0" collapsed="false">
      <c r="B488" s="13" t="n">
        <v>484</v>
      </c>
      <c r="C488" s="14"/>
      <c r="D488" s="15"/>
      <c r="E488" s="16"/>
      <c r="F488" s="17"/>
      <c r="G488" s="10" t="str">
        <f aca="false">IF(D488="","",IF(D488="EarPods",1500,IF(D488="Button Phone",6000,IF(D488="Memory Card",1000,IF(D488="Charger",1200,IF(D488="Tripod Stand",4500,IF(D488="Selfie Stick",2500,IF(D488="Cables",800,IF(D488="Ringlight",8500,IF(D488="Speakers",5500,IF(D488="Wireless Mic",7000,IF(D488="Mouse",3200,IF(D488="Powerbanks",6000,IF(D488="Smartwatch",10000,""))))))))))))))</f>
        <v/>
      </c>
      <c r="H488" s="11" t="str">
        <f aca="false">IF(OR(F488="",G488=""),"",F488*G488)</f>
        <v/>
      </c>
      <c r="I488" s="18"/>
      <c r="J488" s="18"/>
    </row>
    <row r="489" customFormat="false" ht="18.75" hidden="false" customHeight="true" outlineLevel="0" collapsed="false">
      <c r="B489" s="5" t="n">
        <v>485</v>
      </c>
      <c r="C489" s="6"/>
      <c r="D489" s="7"/>
      <c r="E489" s="8"/>
      <c r="F489" s="9"/>
      <c r="G489" s="10" t="str">
        <f aca="false">IF(D489="","",IF(D489="EarPods",1500,IF(D489="Button Phone",6000,IF(D489="Memory Card",1000,IF(D489="Charger",1200,IF(D489="Tripod Stand",4500,IF(D489="Selfie Stick",2500,IF(D489="Cables",800,IF(D489="Ringlight",8500,IF(D489="Speakers",5500,IF(D489="Wireless Mic",7000,IF(D489="Mouse",3200,IF(D489="Powerbanks",6000,IF(D489="Smartwatch",10000,""))))))))))))))</f>
        <v/>
      </c>
      <c r="H489" s="11" t="str">
        <f aca="false">IF(OR(F489="",G489=""),"",F489*G489)</f>
        <v/>
      </c>
      <c r="I489" s="12"/>
      <c r="J489" s="12"/>
    </row>
    <row r="490" customFormat="false" ht="18.75" hidden="false" customHeight="true" outlineLevel="0" collapsed="false">
      <c r="B490" s="13" t="n">
        <v>486</v>
      </c>
      <c r="C490" s="14"/>
      <c r="D490" s="15"/>
      <c r="E490" s="16"/>
      <c r="F490" s="17"/>
      <c r="G490" s="10" t="str">
        <f aca="false">IF(D490="","",IF(D490="EarPods",1500,IF(D490="Button Phone",6000,IF(D490="Memory Card",1000,IF(D490="Charger",1200,IF(D490="Tripod Stand",4500,IF(D490="Selfie Stick",2500,IF(D490="Cables",800,IF(D490="Ringlight",8500,IF(D490="Speakers",5500,IF(D490="Wireless Mic",7000,IF(D490="Mouse",3200,IF(D490="Powerbanks",6000,IF(D490="Smartwatch",10000,""))))))))))))))</f>
        <v/>
      </c>
      <c r="H490" s="11" t="str">
        <f aca="false">IF(OR(F490="",G490=""),"",F490*G490)</f>
        <v/>
      </c>
      <c r="I490" s="18"/>
      <c r="J490" s="18"/>
    </row>
    <row r="491" customFormat="false" ht="18.75" hidden="false" customHeight="true" outlineLevel="0" collapsed="false">
      <c r="B491" s="5" t="n">
        <v>487</v>
      </c>
      <c r="C491" s="6"/>
      <c r="D491" s="7"/>
      <c r="E491" s="8"/>
      <c r="F491" s="9"/>
      <c r="G491" s="10" t="str">
        <f aca="false">IF(D491="","",IF(D491="EarPods",1500,IF(D491="Button Phone",6000,IF(D491="Memory Card",1000,IF(D491="Charger",1200,IF(D491="Tripod Stand",4500,IF(D491="Selfie Stick",2500,IF(D491="Cables",800,IF(D491="Ringlight",8500,IF(D491="Speakers",5500,IF(D491="Wireless Mic",7000,IF(D491="Mouse",3200,IF(D491="Powerbanks",6000,IF(D491="Smartwatch",10000,""))))))))))))))</f>
        <v/>
      </c>
      <c r="H491" s="11" t="str">
        <f aca="false">IF(OR(F491="",G491=""),"",F491*G491)</f>
        <v/>
      </c>
      <c r="I491" s="12"/>
      <c r="J491" s="12"/>
    </row>
    <row r="492" customFormat="false" ht="18.75" hidden="false" customHeight="true" outlineLevel="0" collapsed="false">
      <c r="B492" s="13" t="n">
        <v>488</v>
      </c>
      <c r="C492" s="14"/>
      <c r="D492" s="15"/>
      <c r="E492" s="16"/>
      <c r="F492" s="17"/>
      <c r="G492" s="10" t="str">
        <f aca="false">IF(D492="","",IF(D492="EarPods",1500,IF(D492="Button Phone",6000,IF(D492="Memory Card",1000,IF(D492="Charger",1200,IF(D492="Tripod Stand",4500,IF(D492="Selfie Stick",2500,IF(D492="Cables",800,IF(D492="Ringlight",8500,IF(D492="Speakers",5500,IF(D492="Wireless Mic",7000,IF(D492="Mouse",3200,IF(D492="Powerbanks",6000,IF(D492="Smartwatch",10000,""))))))))))))))</f>
        <v/>
      </c>
      <c r="H492" s="11" t="str">
        <f aca="false">IF(OR(F492="",G492=""),"",F492*G492)</f>
        <v/>
      </c>
      <c r="I492" s="18"/>
      <c r="J492" s="18"/>
    </row>
    <row r="493" customFormat="false" ht="18.75" hidden="false" customHeight="true" outlineLevel="0" collapsed="false">
      <c r="B493" s="5" t="n">
        <v>489</v>
      </c>
      <c r="C493" s="6"/>
      <c r="D493" s="7"/>
      <c r="E493" s="8"/>
      <c r="F493" s="9"/>
      <c r="G493" s="10" t="str">
        <f aca="false">IF(D493="","",IF(D493="EarPods",1500,IF(D493="Button Phone",6000,IF(D493="Memory Card",1000,IF(D493="Charger",1200,IF(D493="Tripod Stand",4500,IF(D493="Selfie Stick",2500,IF(D493="Cables",800,IF(D493="Ringlight",8500,IF(D493="Speakers",5500,IF(D493="Wireless Mic",7000,IF(D493="Mouse",3200,IF(D493="Powerbanks",6000,IF(D493="Smartwatch",10000,""))))))))))))))</f>
        <v/>
      </c>
      <c r="H493" s="11" t="str">
        <f aca="false">IF(OR(F493="",G493=""),"",F493*G493)</f>
        <v/>
      </c>
      <c r="I493" s="12"/>
      <c r="J493" s="12"/>
    </row>
    <row r="494" customFormat="false" ht="18.75" hidden="false" customHeight="true" outlineLevel="0" collapsed="false">
      <c r="B494" s="13" t="n">
        <v>490</v>
      </c>
      <c r="C494" s="14"/>
      <c r="D494" s="15"/>
      <c r="E494" s="16"/>
      <c r="F494" s="17"/>
      <c r="G494" s="10" t="str">
        <f aca="false">IF(D494="","",IF(D494="EarPods",1500,IF(D494="Button Phone",6000,IF(D494="Memory Card",1000,IF(D494="Charger",1200,IF(D494="Tripod Stand",4500,IF(D494="Selfie Stick",2500,IF(D494="Cables",800,IF(D494="Ringlight",8500,IF(D494="Speakers",5500,IF(D494="Wireless Mic",7000,IF(D494="Mouse",3200,IF(D494="Powerbanks",6000,IF(D494="Smartwatch",10000,""))))))))))))))</f>
        <v/>
      </c>
      <c r="H494" s="11" t="str">
        <f aca="false">IF(OR(F494="",G494=""),"",F494*G494)</f>
        <v/>
      </c>
      <c r="I494" s="18"/>
      <c r="J494" s="18"/>
    </row>
    <row r="495" customFormat="false" ht="18.75" hidden="false" customHeight="true" outlineLevel="0" collapsed="false">
      <c r="B495" s="5" t="n">
        <v>491</v>
      </c>
      <c r="C495" s="6"/>
      <c r="D495" s="7"/>
      <c r="E495" s="8"/>
      <c r="F495" s="9"/>
      <c r="G495" s="10" t="str">
        <f aca="false">IF(D495="","",IF(D495="EarPods",1500,IF(D495="Button Phone",6000,IF(D495="Memory Card",1000,IF(D495="Charger",1200,IF(D495="Tripod Stand",4500,IF(D495="Selfie Stick",2500,IF(D495="Cables",800,IF(D495="Ringlight",8500,IF(D495="Speakers",5500,IF(D495="Wireless Mic",7000,IF(D495="Mouse",3200,IF(D495="Powerbanks",6000,IF(D495="Smartwatch",10000,""))))))))))))))</f>
        <v/>
      </c>
      <c r="H495" s="11" t="str">
        <f aca="false">IF(OR(F495="",G495=""),"",F495*G495)</f>
        <v/>
      </c>
      <c r="I495" s="12"/>
      <c r="J495" s="12"/>
    </row>
    <row r="496" customFormat="false" ht="18.75" hidden="false" customHeight="true" outlineLevel="0" collapsed="false">
      <c r="B496" s="13" t="n">
        <v>492</v>
      </c>
      <c r="C496" s="14"/>
      <c r="D496" s="15"/>
      <c r="E496" s="16"/>
      <c r="F496" s="17"/>
      <c r="G496" s="10" t="str">
        <f aca="false">IF(D496="","",IF(D496="EarPods",1500,IF(D496="Button Phone",6000,IF(D496="Memory Card",1000,IF(D496="Charger",1200,IF(D496="Tripod Stand",4500,IF(D496="Selfie Stick",2500,IF(D496="Cables",800,IF(D496="Ringlight",8500,IF(D496="Speakers",5500,IF(D496="Wireless Mic",7000,IF(D496="Mouse",3200,IF(D496="Powerbanks",6000,IF(D496="Smartwatch",10000,""))))))))))))))</f>
        <v/>
      </c>
      <c r="H496" s="11" t="str">
        <f aca="false">IF(OR(F496="",G496=""),"",F496*G496)</f>
        <v/>
      </c>
      <c r="I496" s="18"/>
      <c r="J496" s="18"/>
    </row>
    <row r="497" customFormat="false" ht="18.75" hidden="false" customHeight="true" outlineLevel="0" collapsed="false">
      <c r="B497" s="5" t="n">
        <v>493</v>
      </c>
      <c r="C497" s="6"/>
      <c r="D497" s="7"/>
      <c r="E497" s="8"/>
      <c r="F497" s="9"/>
      <c r="G497" s="10" t="str">
        <f aca="false">IF(D497="","",IF(D497="EarPods",1500,IF(D497="Button Phone",6000,IF(D497="Memory Card",1000,IF(D497="Charger",1200,IF(D497="Tripod Stand",4500,IF(D497="Selfie Stick",2500,IF(D497="Cables",800,IF(D497="Ringlight",8500,IF(D497="Speakers",5500,IF(D497="Wireless Mic",7000,IF(D497="Mouse",3200,IF(D497="Powerbanks",6000,IF(D497="Smartwatch",10000,""))))))))))))))</f>
        <v/>
      </c>
      <c r="H497" s="11" t="str">
        <f aca="false">IF(OR(F497="",G497=""),"",F497*G497)</f>
        <v/>
      </c>
      <c r="I497" s="12"/>
      <c r="J497" s="12"/>
    </row>
    <row r="498" customFormat="false" ht="18.75" hidden="false" customHeight="true" outlineLevel="0" collapsed="false">
      <c r="B498" s="13" t="n">
        <v>494</v>
      </c>
      <c r="C498" s="14"/>
      <c r="D498" s="15"/>
      <c r="E498" s="16"/>
      <c r="F498" s="17"/>
      <c r="G498" s="10" t="str">
        <f aca="false">IF(D498="","",IF(D498="EarPods",1500,IF(D498="Button Phone",6000,IF(D498="Memory Card",1000,IF(D498="Charger",1200,IF(D498="Tripod Stand",4500,IF(D498="Selfie Stick",2500,IF(D498="Cables",800,IF(D498="Ringlight",8500,IF(D498="Speakers",5500,IF(D498="Wireless Mic",7000,IF(D498="Mouse",3200,IF(D498="Powerbanks",6000,IF(D498="Smartwatch",10000,""))))))))))))))</f>
        <v/>
      </c>
      <c r="H498" s="11" t="str">
        <f aca="false">IF(OR(F498="",G498=""),"",F498*G498)</f>
        <v/>
      </c>
      <c r="I498" s="18"/>
      <c r="J498" s="18"/>
    </row>
    <row r="499" customFormat="false" ht="18.75" hidden="false" customHeight="true" outlineLevel="0" collapsed="false">
      <c r="B499" s="5" t="n">
        <v>495</v>
      </c>
      <c r="C499" s="6"/>
      <c r="D499" s="7"/>
      <c r="E499" s="8"/>
      <c r="F499" s="9"/>
      <c r="G499" s="10" t="str">
        <f aca="false">IF(D499="","",IF(D499="EarPods",1500,IF(D499="Button Phone",6000,IF(D499="Memory Card",1000,IF(D499="Charger",1200,IF(D499="Tripod Stand",4500,IF(D499="Selfie Stick",2500,IF(D499="Cables",800,IF(D499="Ringlight",8500,IF(D499="Speakers",5500,IF(D499="Wireless Mic",7000,IF(D499="Mouse",3200,IF(D499="Powerbanks",6000,IF(D499="Smartwatch",10000,""))))))))))))))</f>
        <v/>
      </c>
      <c r="H499" s="11" t="str">
        <f aca="false">IF(OR(F499="",G499=""),"",F499*G499)</f>
        <v/>
      </c>
      <c r="I499" s="12"/>
      <c r="J499" s="12"/>
    </row>
    <row r="500" customFormat="false" ht="18.75" hidden="false" customHeight="true" outlineLevel="0" collapsed="false">
      <c r="B500" s="13" t="n">
        <v>496</v>
      </c>
      <c r="C500" s="14"/>
      <c r="D500" s="15"/>
      <c r="E500" s="16"/>
      <c r="F500" s="17"/>
      <c r="G500" s="10" t="str">
        <f aca="false">IF(D500="","",IF(D500="EarPods",1500,IF(D500="Button Phone",6000,IF(D500="Memory Card",1000,IF(D500="Charger",1200,IF(D500="Tripod Stand",4500,IF(D500="Selfie Stick",2500,IF(D500="Cables",800,IF(D500="Ringlight",8500,IF(D500="Speakers",5500,IF(D500="Wireless Mic",7000,IF(D500="Mouse",3200,IF(D500="Powerbanks",6000,IF(D500="Smartwatch",10000,""))))))))))))))</f>
        <v/>
      </c>
      <c r="H500" s="11" t="str">
        <f aca="false">IF(OR(F500="",G500=""),"",F500*G500)</f>
        <v/>
      </c>
      <c r="I500" s="18"/>
      <c r="J500" s="18"/>
    </row>
    <row r="501" customFormat="false" ht="18.75" hidden="false" customHeight="true" outlineLevel="0" collapsed="false">
      <c r="B501" s="5" t="n">
        <v>497</v>
      </c>
      <c r="C501" s="6"/>
      <c r="D501" s="7"/>
      <c r="E501" s="8"/>
      <c r="F501" s="9"/>
      <c r="G501" s="10" t="str">
        <f aca="false">IF(D501="","",IF(D501="EarPods",1500,IF(D501="Button Phone",6000,IF(D501="Memory Card",1000,IF(D501="Charger",1200,IF(D501="Tripod Stand",4500,IF(D501="Selfie Stick",2500,IF(D501="Cables",800,IF(D501="Ringlight",8500,IF(D501="Speakers",5500,IF(D501="Wireless Mic",7000,IF(D501="Mouse",3200,IF(D501="Powerbanks",6000,IF(D501="Smartwatch",10000,""))))))))))))))</f>
        <v/>
      </c>
      <c r="H501" s="11" t="str">
        <f aca="false">IF(OR(F501="",G501=""),"",F501*G501)</f>
        <v/>
      </c>
      <c r="I501" s="12"/>
      <c r="J501" s="12"/>
    </row>
    <row r="502" customFormat="false" ht="18.75" hidden="false" customHeight="true" outlineLevel="0" collapsed="false">
      <c r="B502" s="13" t="n">
        <v>498</v>
      </c>
      <c r="C502" s="14"/>
      <c r="D502" s="15"/>
      <c r="E502" s="16"/>
      <c r="F502" s="17"/>
      <c r="G502" s="10" t="str">
        <f aca="false">IF(D502="","",IF(D502="EarPods",1500,IF(D502="Button Phone",6000,IF(D502="Memory Card",1000,IF(D502="Charger",1200,IF(D502="Tripod Stand",4500,IF(D502="Selfie Stick",2500,IF(D502="Cables",800,IF(D502="Ringlight",8500,IF(D502="Speakers",5500,IF(D502="Wireless Mic",7000,IF(D502="Mouse",3200,IF(D502="Powerbanks",6000,IF(D502="Smartwatch",10000,""))))))))))))))</f>
        <v/>
      </c>
      <c r="H502" s="11" t="str">
        <f aca="false">IF(OR(F502="",G502=""),"",F502*G502)</f>
        <v/>
      </c>
      <c r="I502" s="18"/>
      <c r="J502" s="18"/>
    </row>
    <row r="503" customFormat="false" ht="18.75" hidden="false" customHeight="true" outlineLevel="0" collapsed="false">
      <c r="B503" s="5" t="n">
        <v>499</v>
      </c>
      <c r="C503" s="6"/>
      <c r="D503" s="7"/>
      <c r="E503" s="8"/>
      <c r="F503" s="9"/>
      <c r="G503" s="10" t="str">
        <f aca="false">IF(D503="","",IF(D503="EarPods",1500,IF(D503="Button Phone",6000,IF(D503="Memory Card",1000,IF(D503="Charger",1200,IF(D503="Tripod Stand",4500,IF(D503="Selfie Stick",2500,IF(D503="Cables",800,IF(D503="Ringlight",8500,IF(D503="Speakers",5500,IF(D503="Wireless Mic",7000,IF(D503="Mouse",3200,IF(D503="Powerbanks",6000,IF(D503="Smartwatch",10000,""))))))))))))))</f>
        <v/>
      </c>
      <c r="H503" s="11" t="str">
        <f aca="false">IF(OR(F503="",G503=""),"",F503*G503)</f>
        <v/>
      </c>
      <c r="I503" s="12"/>
      <c r="J503" s="12"/>
    </row>
    <row r="504" customFormat="false" ht="18.75" hidden="false" customHeight="true" outlineLevel="0" collapsed="false">
      <c r="B504" s="13" t="n">
        <v>500</v>
      </c>
      <c r="C504" s="14"/>
      <c r="D504" s="15"/>
      <c r="E504" s="16"/>
      <c r="F504" s="17"/>
      <c r="G504" s="10" t="str">
        <f aca="false">IF(D504="","",IF(D504="EarPods",1500,IF(D504="Button Phone",6000,IF(D504="Memory Card",1000,IF(D504="Charger",1200,IF(D504="Tripod Stand",4500,IF(D504="Selfie Stick",2500,IF(D504="Cables",800,IF(D504="Ringlight",8500,IF(D504="Speakers",5500,IF(D504="Wireless Mic",7000,IF(D504="Mouse",3200,IF(D504="Powerbanks",6000,IF(D504="Smartwatch",10000,""))))))))))))))</f>
        <v/>
      </c>
      <c r="H504" s="11" t="str">
        <f aca="false">IF(OR(F504="",G504=""),"",F504*G504)</f>
        <v/>
      </c>
      <c r="I504" s="18"/>
      <c r="J504" s="18"/>
    </row>
    <row r="506" customFormat="false" ht="25.5" hidden="false" customHeight="true" outlineLevel="0" collapsed="false">
      <c r="B506" s="19" t="s">
        <v>19</v>
      </c>
      <c r="C506" s="19"/>
      <c r="D506" s="19"/>
      <c r="E506" s="19"/>
      <c r="F506" s="19"/>
      <c r="G506" s="19"/>
      <c r="H506" s="19"/>
      <c r="I506" s="19"/>
      <c r="J506" s="19"/>
    </row>
    <row r="507" customFormat="false" ht="21.75" hidden="false" customHeight="true" outlineLevel="0" collapsed="false">
      <c r="B507" s="20" t="s">
        <v>20</v>
      </c>
      <c r="C507" s="20"/>
      <c r="D507" s="20"/>
      <c r="E507" s="20"/>
      <c r="F507" s="20"/>
      <c r="G507" s="21" t="n">
        <f aca="true">SUMIF(C5:C504,TODAY(),H5:H504)</f>
        <v>0</v>
      </c>
      <c r="H507" s="21"/>
      <c r="I507" s="21"/>
      <c r="J507" s="21"/>
    </row>
    <row r="508" customFormat="false" ht="21.75" hidden="false" customHeight="true" outlineLevel="0" collapsed="false">
      <c r="B508" s="22" t="s">
        <v>21</v>
      </c>
      <c r="C508" s="22"/>
      <c r="D508" s="22"/>
      <c r="E508" s="22"/>
      <c r="F508" s="22"/>
      <c r="G508" s="23" t="n">
        <f aca="true">SUMIF(C5:C504,TODAY(),F5:F504)</f>
        <v>0</v>
      </c>
      <c r="H508" s="23"/>
      <c r="I508" s="23"/>
      <c r="J508" s="23"/>
    </row>
    <row r="509" customFormat="false" ht="21.75" hidden="false" customHeight="true" outlineLevel="0" collapsed="false">
      <c r="B509" s="20" t="s">
        <v>22</v>
      </c>
      <c r="C509" s="20"/>
      <c r="D509" s="20"/>
      <c r="E509" s="20"/>
      <c r="F509" s="20"/>
      <c r="G509" s="24" t="n">
        <f aca="true">SUMPRODUCT((C5:C504=TODAY())*(I5:I504="Cash")*IF(ISNUMBER(H5:H504),H5:H504,0))</f>
        <v>0</v>
      </c>
      <c r="H509" s="24"/>
      <c r="I509" s="24"/>
      <c r="J509" s="24"/>
    </row>
    <row r="510" customFormat="false" ht="21.75" hidden="false" customHeight="true" outlineLevel="0" collapsed="false">
      <c r="B510" s="22" t="s">
        <v>23</v>
      </c>
      <c r="C510" s="22"/>
      <c r="D510" s="22"/>
      <c r="E510" s="22"/>
      <c r="F510" s="22"/>
      <c r="G510" s="25" t="n">
        <f aca="true">SUMPRODUCT((C5:C504=TODAY())*(I5:I504="POS")*IF(ISNUMBER(H5:H504),H5:H504,0))</f>
        <v>0</v>
      </c>
      <c r="H510" s="25"/>
      <c r="I510" s="25"/>
      <c r="J510" s="25"/>
    </row>
    <row r="511" customFormat="false" ht="21.75" hidden="false" customHeight="true" outlineLevel="0" collapsed="false">
      <c r="B511" s="20" t="s">
        <v>24</v>
      </c>
      <c r="C511" s="20"/>
      <c r="D511" s="20"/>
      <c r="E511" s="20"/>
      <c r="F511" s="20"/>
      <c r="G511" s="24" t="n">
        <f aca="true">SUMPRODUCT((C5:C504=TODAY())*(I5:I504="Transfer")*IF(ISNUMBER(H5:H504),H5:H504,0))</f>
        <v>0</v>
      </c>
      <c r="H511" s="24"/>
      <c r="I511" s="24"/>
      <c r="J511" s="24"/>
    </row>
    <row r="512" customFormat="false" ht="21.75" hidden="false" customHeight="true" outlineLevel="0" collapsed="false">
      <c r="B512" s="22" t="s">
        <v>25</v>
      </c>
      <c r="C512" s="22"/>
      <c r="D512" s="22"/>
      <c r="E512" s="22"/>
      <c r="F512" s="22"/>
      <c r="G512" s="26" t="n">
        <f aca="true">SUMPRODUCT((ISNUMBER(C5:C504))*(MONTH(IF(ISNUMBER(C5:C504),C5:C504,1))=MONTH(TODAY()))*(YEAR(IF(ISNUMBER(C5:C504),C5:C504,1))=YEAR(TODAY()))*IF(ISNUMBER(H5:H504),H5:H504,0))</f>
        <v>0</v>
      </c>
      <c r="H512" s="26"/>
      <c r="I512" s="26"/>
      <c r="J512" s="26"/>
    </row>
    <row r="513" customFormat="false" ht="21.75" hidden="false" customHeight="true" outlineLevel="0" collapsed="false">
      <c r="B513" s="20" t="s">
        <v>26</v>
      </c>
      <c r="C513" s="20"/>
      <c r="D513" s="20"/>
      <c r="E513" s="20"/>
      <c r="F513" s="20"/>
      <c r="G513" s="27" t="n">
        <f aca="false">SUM(H5:H504)</f>
        <v>0</v>
      </c>
      <c r="H513" s="27"/>
      <c r="I513" s="27"/>
      <c r="J513" s="27"/>
    </row>
  </sheetData>
  <mergeCells count="17">
    <mergeCell ref="B1:J1"/>
    <mergeCell ref="B2:J2"/>
    <mergeCell ref="B506:J506"/>
    <mergeCell ref="B507:F507"/>
    <mergeCell ref="G507:J507"/>
    <mergeCell ref="B508:F508"/>
    <mergeCell ref="G508:J508"/>
    <mergeCell ref="B509:F509"/>
    <mergeCell ref="G509:J509"/>
    <mergeCell ref="B510:F510"/>
    <mergeCell ref="G510:J510"/>
    <mergeCell ref="B511:F511"/>
    <mergeCell ref="G511:J511"/>
    <mergeCell ref="B512:F512"/>
    <mergeCell ref="G512:J512"/>
    <mergeCell ref="B513:F513"/>
    <mergeCell ref="G513:J513"/>
  </mergeCells>
  <dataValidations count="2">
    <dataValidation allowBlank="false" error="Please choose a product from the dropdown list." errorStyle="stop" errorTitle="Invalid product" operator="between" showDropDown="false" showErrorMessage="true" showInputMessage="false" sqref="D5:D504" type="list">
      <formula1>"EarPods,Button Phone,Memory Card,Charger,Tripod Stand,Selfie Stick,Cables,Ringlight,Speakers,Wireless Mic,Mouse,Powerbanks,Smartwatch"</formula1>
      <formula2>0</formula2>
    </dataValidation>
    <dataValidation allowBlank="false" errorStyle="stop" operator="between" showDropDown="false" showErrorMessage="false" showInputMessage="false" sqref="I5:I504" type="list">
      <formula1>"Cash,POS,Transfer"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1:G5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"/>
  </cols>
  <sheetData>
    <row r="1" customFormat="false" ht="36" hidden="false" customHeight="true" outlineLevel="0" collapsed="false">
      <c r="B1" s="28" t="s">
        <v>27</v>
      </c>
      <c r="C1" s="28"/>
      <c r="D1" s="28"/>
      <c r="E1" s="28"/>
      <c r="F1" s="28"/>
      <c r="G1" s="28"/>
    </row>
    <row r="2" customFormat="false" ht="19.5" hidden="false" customHeight="true" outlineLevel="0" collapsed="false">
      <c r="B2" s="29" t="s">
        <v>28</v>
      </c>
      <c r="C2" s="29"/>
      <c r="D2" s="29"/>
      <c r="E2" s="29"/>
      <c r="F2" s="29"/>
      <c r="G2" s="29"/>
    </row>
    <row r="3" customFormat="false" ht="33.75" hidden="false" customHeight="true" outlineLevel="0" collapsed="false">
      <c r="B3" s="30" t="s">
        <v>11</v>
      </c>
      <c r="C3" s="30" t="s">
        <v>29</v>
      </c>
      <c r="D3" s="30" t="s">
        <v>30</v>
      </c>
      <c r="E3" s="30" t="s">
        <v>31</v>
      </c>
      <c r="F3" s="30" t="s">
        <v>32</v>
      </c>
      <c r="G3" s="30" t="s">
        <v>33</v>
      </c>
    </row>
    <row r="4" customFormat="false" ht="18.75" hidden="false" customHeight="true" outlineLevel="0" collapsed="false">
      <c r="B4" s="14"/>
      <c r="C4" s="15"/>
      <c r="D4" s="18"/>
      <c r="E4" s="31"/>
      <c r="F4" s="18"/>
      <c r="G4" s="15"/>
    </row>
    <row r="5" customFormat="false" ht="18.75" hidden="false" customHeight="true" outlineLevel="0" collapsed="false">
      <c r="B5" s="6"/>
      <c r="C5" s="7"/>
      <c r="D5" s="12"/>
      <c r="E5" s="32"/>
      <c r="F5" s="12"/>
      <c r="G5" s="7"/>
    </row>
    <row r="6" customFormat="false" ht="18.75" hidden="false" customHeight="true" outlineLevel="0" collapsed="false">
      <c r="B6" s="14"/>
      <c r="C6" s="15"/>
      <c r="D6" s="18"/>
      <c r="E6" s="31"/>
      <c r="F6" s="18"/>
      <c r="G6" s="15"/>
    </row>
    <row r="7" customFormat="false" ht="18.75" hidden="false" customHeight="true" outlineLevel="0" collapsed="false">
      <c r="B7" s="6"/>
      <c r="C7" s="7"/>
      <c r="D7" s="12"/>
      <c r="E7" s="32"/>
      <c r="F7" s="12"/>
      <c r="G7" s="7"/>
    </row>
    <row r="8" customFormat="false" ht="18.75" hidden="false" customHeight="true" outlineLevel="0" collapsed="false">
      <c r="B8" s="14"/>
      <c r="C8" s="15"/>
      <c r="D8" s="18"/>
      <c r="E8" s="31"/>
      <c r="F8" s="18"/>
      <c r="G8" s="15"/>
    </row>
    <row r="9" customFormat="false" ht="18.75" hidden="false" customHeight="true" outlineLevel="0" collapsed="false">
      <c r="B9" s="6"/>
      <c r="C9" s="7"/>
      <c r="D9" s="12"/>
      <c r="E9" s="32"/>
      <c r="F9" s="12"/>
      <c r="G9" s="7"/>
    </row>
    <row r="10" customFormat="false" ht="18.75" hidden="false" customHeight="true" outlineLevel="0" collapsed="false">
      <c r="B10" s="14"/>
      <c r="C10" s="15"/>
      <c r="D10" s="18"/>
      <c r="E10" s="31"/>
      <c r="F10" s="18"/>
      <c r="G10" s="15"/>
    </row>
    <row r="11" customFormat="false" ht="18.75" hidden="false" customHeight="true" outlineLevel="0" collapsed="false">
      <c r="B11" s="6"/>
      <c r="C11" s="7"/>
      <c r="D11" s="12"/>
      <c r="E11" s="32"/>
      <c r="F11" s="12"/>
      <c r="G11" s="7"/>
    </row>
    <row r="12" customFormat="false" ht="18.75" hidden="false" customHeight="true" outlineLevel="0" collapsed="false">
      <c r="B12" s="14"/>
      <c r="C12" s="15"/>
      <c r="D12" s="18"/>
      <c r="E12" s="31"/>
      <c r="F12" s="18"/>
      <c r="G12" s="15"/>
    </row>
    <row r="13" customFormat="false" ht="18.75" hidden="false" customHeight="true" outlineLevel="0" collapsed="false">
      <c r="B13" s="6"/>
      <c r="C13" s="7"/>
      <c r="D13" s="12"/>
      <c r="E13" s="32"/>
      <c r="F13" s="12"/>
      <c r="G13" s="7"/>
    </row>
    <row r="14" customFormat="false" ht="18.75" hidden="false" customHeight="true" outlineLevel="0" collapsed="false">
      <c r="B14" s="14"/>
      <c r="C14" s="15"/>
      <c r="D14" s="18"/>
      <c r="E14" s="31"/>
      <c r="F14" s="18"/>
      <c r="G14" s="15"/>
    </row>
    <row r="15" customFormat="false" ht="18.75" hidden="false" customHeight="true" outlineLevel="0" collapsed="false">
      <c r="B15" s="6"/>
      <c r="C15" s="7"/>
      <c r="D15" s="12"/>
      <c r="E15" s="32"/>
      <c r="F15" s="12"/>
      <c r="G15" s="7"/>
    </row>
    <row r="16" customFormat="false" ht="18.75" hidden="false" customHeight="true" outlineLevel="0" collapsed="false">
      <c r="B16" s="14"/>
      <c r="C16" s="15"/>
      <c r="D16" s="18"/>
      <c r="E16" s="31"/>
      <c r="F16" s="18"/>
      <c r="G16" s="15"/>
    </row>
    <row r="17" customFormat="false" ht="18.75" hidden="false" customHeight="true" outlineLevel="0" collapsed="false">
      <c r="B17" s="6"/>
      <c r="C17" s="7"/>
      <c r="D17" s="12"/>
      <c r="E17" s="32"/>
      <c r="F17" s="12"/>
      <c r="G17" s="7"/>
    </row>
    <row r="18" customFormat="false" ht="18.75" hidden="false" customHeight="true" outlineLevel="0" collapsed="false">
      <c r="B18" s="14"/>
      <c r="C18" s="15"/>
      <c r="D18" s="18"/>
      <c r="E18" s="31"/>
      <c r="F18" s="18"/>
      <c r="G18" s="15"/>
    </row>
    <row r="19" customFormat="false" ht="18.75" hidden="false" customHeight="true" outlineLevel="0" collapsed="false">
      <c r="B19" s="6"/>
      <c r="C19" s="7"/>
      <c r="D19" s="12"/>
      <c r="E19" s="32"/>
      <c r="F19" s="12"/>
      <c r="G19" s="7"/>
    </row>
    <row r="20" customFormat="false" ht="18.75" hidden="false" customHeight="true" outlineLevel="0" collapsed="false">
      <c r="B20" s="14"/>
      <c r="C20" s="15"/>
      <c r="D20" s="18"/>
      <c r="E20" s="31"/>
      <c r="F20" s="18"/>
      <c r="G20" s="15"/>
    </row>
    <row r="21" customFormat="false" ht="18.75" hidden="false" customHeight="true" outlineLevel="0" collapsed="false">
      <c r="B21" s="6"/>
      <c r="C21" s="7"/>
      <c r="D21" s="12"/>
      <c r="E21" s="32"/>
      <c r="F21" s="12"/>
      <c r="G21" s="7"/>
    </row>
    <row r="22" customFormat="false" ht="18.75" hidden="false" customHeight="true" outlineLevel="0" collapsed="false">
      <c r="B22" s="14"/>
      <c r="C22" s="15"/>
      <c r="D22" s="18"/>
      <c r="E22" s="31"/>
      <c r="F22" s="18"/>
      <c r="G22" s="15"/>
    </row>
    <row r="23" customFormat="false" ht="18.75" hidden="false" customHeight="true" outlineLevel="0" collapsed="false">
      <c r="B23" s="6"/>
      <c r="C23" s="7"/>
      <c r="D23" s="12"/>
      <c r="E23" s="32"/>
      <c r="F23" s="12"/>
      <c r="G23" s="7"/>
    </row>
    <row r="24" customFormat="false" ht="18.75" hidden="false" customHeight="true" outlineLevel="0" collapsed="false">
      <c r="B24" s="14"/>
      <c r="C24" s="15"/>
      <c r="D24" s="18"/>
      <c r="E24" s="31"/>
      <c r="F24" s="18"/>
      <c r="G24" s="15"/>
    </row>
    <row r="25" customFormat="false" ht="18.75" hidden="false" customHeight="true" outlineLevel="0" collapsed="false">
      <c r="B25" s="6"/>
      <c r="C25" s="7"/>
      <c r="D25" s="12"/>
      <c r="E25" s="32"/>
      <c r="F25" s="12"/>
      <c r="G25" s="7"/>
    </row>
    <row r="26" customFormat="false" ht="18.75" hidden="false" customHeight="true" outlineLevel="0" collapsed="false">
      <c r="B26" s="14"/>
      <c r="C26" s="15"/>
      <c r="D26" s="18"/>
      <c r="E26" s="31"/>
      <c r="F26" s="18"/>
      <c r="G26" s="15"/>
    </row>
    <row r="27" customFormat="false" ht="18.75" hidden="false" customHeight="true" outlineLevel="0" collapsed="false">
      <c r="B27" s="6"/>
      <c r="C27" s="7"/>
      <c r="D27" s="12"/>
      <c r="E27" s="32"/>
      <c r="F27" s="12"/>
      <c r="G27" s="7"/>
    </row>
    <row r="28" customFormat="false" ht="18.75" hidden="false" customHeight="true" outlineLevel="0" collapsed="false">
      <c r="B28" s="14"/>
      <c r="C28" s="15"/>
      <c r="D28" s="18"/>
      <c r="E28" s="31"/>
      <c r="F28" s="18"/>
      <c r="G28" s="15"/>
    </row>
    <row r="29" customFormat="false" ht="18.75" hidden="false" customHeight="true" outlineLevel="0" collapsed="false">
      <c r="B29" s="6"/>
      <c r="C29" s="7"/>
      <c r="D29" s="12"/>
      <c r="E29" s="32"/>
      <c r="F29" s="12"/>
      <c r="G29" s="7"/>
    </row>
    <row r="30" customFormat="false" ht="18.75" hidden="false" customHeight="true" outlineLevel="0" collapsed="false">
      <c r="B30" s="14"/>
      <c r="C30" s="15"/>
      <c r="D30" s="18"/>
      <c r="E30" s="31"/>
      <c r="F30" s="18"/>
      <c r="G30" s="15"/>
    </row>
    <row r="31" customFormat="false" ht="18.75" hidden="false" customHeight="true" outlineLevel="0" collapsed="false">
      <c r="B31" s="6"/>
      <c r="C31" s="7"/>
      <c r="D31" s="12"/>
      <c r="E31" s="32"/>
      <c r="F31" s="12"/>
      <c r="G31" s="7"/>
    </row>
    <row r="32" customFormat="false" ht="18.75" hidden="false" customHeight="true" outlineLevel="0" collapsed="false">
      <c r="B32" s="14"/>
      <c r="C32" s="15"/>
      <c r="D32" s="18"/>
      <c r="E32" s="31"/>
      <c r="F32" s="18"/>
      <c r="G32" s="15"/>
    </row>
    <row r="33" customFormat="false" ht="18.75" hidden="false" customHeight="true" outlineLevel="0" collapsed="false">
      <c r="B33" s="6"/>
      <c r="C33" s="7"/>
      <c r="D33" s="12"/>
      <c r="E33" s="32"/>
      <c r="F33" s="12"/>
      <c r="G33" s="7"/>
    </row>
    <row r="34" customFormat="false" ht="18.75" hidden="false" customHeight="true" outlineLevel="0" collapsed="false">
      <c r="B34" s="14"/>
      <c r="C34" s="15"/>
      <c r="D34" s="18"/>
      <c r="E34" s="31"/>
      <c r="F34" s="18"/>
      <c r="G34" s="15"/>
    </row>
    <row r="35" customFormat="false" ht="18.75" hidden="false" customHeight="true" outlineLevel="0" collapsed="false">
      <c r="B35" s="6"/>
      <c r="C35" s="7"/>
      <c r="D35" s="12"/>
      <c r="E35" s="32"/>
      <c r="F35" s="12"/>
      <c r="G35" s="7"/>
    </row>
    <row r="36" customFormat="false" ht="18.75" hidden="false" customHeight="true" outlineLevel="0" collapsed="false">
      <c r="B36" s="14"/>
      <c r="C36" s="15"/>
      <c r="D36" s="18"/>
      <c r="E36" s="31"/>
      <c r="F36" s="18"/>
      <c r="G36" s="15"/>
    </row>
    <row r="37" customFormat="false" ht="18.75" hidden="false" customHeight="true" outlineLevel="0" collapsed="false">
      <c r="B37" s="6"/>
      <c r="C37" s="7"/>
      <c r="D37" s="12"/>
      <c r="E37" s="32"/>
      <c r="F37" s="12"/>
      <c r="G37" s="7"/>
    </row>
    <row r="38" customFormat="false" ht="18.75" hidden="false" customHeight="true" outlineLevel="0" collapsed="false">
      <c r="B38" s="14"/>
      <c r="C38" s="15"/>
      <c r="D38" s="18"/>
      <c r="E38" s="31"/>
      <c r="F38" s="18"/>
      <c r="G38" s="15"/>
    </row>
    <row r="39" customFormat="false" ht="18.75" hidden="false" customHeight="true" outlineLevel="0" collapsed="false">
      <c r="B39" s="6"/>
      <c r="C39" s="7"/>
      <c r="D39" s="12"/>
      <c r="E39" s="32"/>
      <c r="F39" s="12"/>
      <c r="G39" s="7"/>
    </row>
    <row r="40" customFormat="false" ht="18.75" hidden="false" customHeight="true" outlineLevel="0" collapsed="false">
      <c r="B40" s="14"/>
      <c r="C40" s="15"/>
      <c r="D40" s="18"/>
      <c r="E40" s="31"/>
      <c r="F40" s="18"/>
      <c r="G40" s="15"/>
    </row>
    <row r="41" customFormat="false" ht="18.75" hidden="false" customHeight="true" outlineLevel="0" collapsed="false">
      <c r="B41" s="6"/>
      <c r="C41" s="7"/>
      <c r="D41" s="12"/>
      <c r="E41" s="32"/>
      <c r="F41" s="12"/>
      <c r="G41" s="7"/>
    </row>
    <row r="42" customFormat="false" ht="18.75" hidden="false" customHeight="true" outlineLevel="0" collapsed="false">
      <c r="B42" s="14"/>
      <c r="C42" s="15"/>
      <c r="D42" s="18"/>
      <c r="E42" s="31"/>
      <c r="F42" s="18"/>
      <c r="G42" s="15"/>
    </row>
    <row r="43" customFormat="false" ht="18.75" hidden="false" customHeight="true" outlineLevel="0" collapsed="false">
      <c r="B43" s="6"/>
      <c r="C43" s="7"/>
      <c r="D43" s="12"/>
      <c r="E43" s="32"/>
      <c r="F43" s="12"/>
      <c r="G43" s="7"/>
    </row>
    <row r="44" customFormat="false" ht="18.75" hidden="false" customHeight="true" outlineLevel="0" collapsed="false">
      <c r="B44" s="14"/>
      <c r="C44" s="15"/>
      <c r="D44" s="18"/>
      <c r="E44" s="31"/>
      <c r="F44" s="18"/>
      <c r="G44" s="15"/>
    </row>
    <row r="45" customFormat="false" ht="18.75" hidden="false" customHeight="true" outlineLevel="0" collapsed="false">
      <c r="B45" s="6"/>
      <c r="C45" s="7"/>
      <c r="D45" s="12"/>
      <c r="E45" s="32"/>
      <c r="F45" s="12"/>
      <c r="G45" s="7"/>
    </row>
    <row r="46" customFormat="false" ht="18.75" hidden="false" customHeight="true" outlineLevel="0" collapsed="false">
      <c r="B46" s="14"/>
      <c r="C46" s="15"/>
      <c r="D46" s="18"/>
      <c r="E46" s="31"/>
      <c r="F46" s="18"/>
      <c r="G46" s="15"/>
    </row>
    <row r="47" customFormat="false" ht="18.75" hidden="false" customHeight="true" outlineLevel="0" collapsed="false">
      <c r="B47" s="6"/>
      <c r="C47" s="7"/>
      <c r="D47" s="12"/>
      <c r="E47" s="32"/>
      <c r="F47" s="12"/>
      <c r="G47" s="7"/>
    </row>
    <row r="48" customFormat="false" ht="18.75" hidden="false" customHeight="true" outlineLevel="0" collapsed="false">
      <c r="B48" s="14"/>
      <c r="C48" s="15"/>
      <c r="D48" s="18"/>
      <c r="E48" s="31"/>
      <c r="F48" s="18"/>
      <c r="G48" s="15"/>
    </row>
    <row r="49" customFormat="false" ht="18.75" hidden="false" customHeight="true" outlineLevel="0" collapsed="false">
      <c r="B49" s="6"/>
      <c r="C49" s="7"/>
      <c r="D49" s="12"/>
      <c r="E49" s="32"/>
      <c r="F49" s="12"/>
      <c r="G49" s="7"/>
    </row>
    <row r="50" customFormat="false" ht="18.75" hidden="false" customHeight="true" outlineLevel="0" collapsed="false">
      <c r="B50" s="14"/>
      <c r="C50" s="15"/>
      <c r="D50" s="18"/>
      <c r="E50" s="31"/>
      <c r="F50" s="18"/>
      <c r="G50" s="15"/>
    </row>
    <row r="51" customFormat="false" ht="18.75" hidden="false" customHeight="true" outlineLevel="0" collapsed="false">
      <c r="B51" s="6"/>
      <c r="C51" s="7"/>
      <c r="D51" s="12"/>
      <c r="E51" s="32"/>
      <c r="F51" s="12"/>
      <c r="G51" s="7"/>
    </row>
    <row r="52" customFormat="false" ht="18.75" hidden="false" customHeight="true" outlineLevel="0" collapsed="false">
      <c r="B52" s="14"/>
      <c r="C52" s="15"/>
      <c r="D52" s="18"/>
      <c r="E52" s="31"/>
      <c r="F52" s="18"/>
      <c r="G52" s="15"/>
    </row>
    <row r="53" customFormat="false" ht="18.75" hidden="false" customHeight="true" outlineLevel="0" collapsed="false">
      <c r="B53" s="6"/>
      <c r="C53" s="7"/>
      <c r="D53" s="12"/>
      <c r="E53" s="32"/>
      <c r="F53" s="12"/>
      <c r="G53" s="7"/>
    </row>
    <row r="54" customFormat="false" ht="18.75" hidden="false" customHeight="true" outlineLevel="0" collapsed="false">
      <c r="B54" s="14"/>
      <c r="C54" s="15"/>
      <c r="D54" s="18"/>
      <c r="E54" s="31"/>
      <c r="F54" s="18"/>
      <c r="G54" s="15"/>
    </row>
    <row r="55" customFormat="false" ht="18.75" hidden="false" customHeight="true" outlineLevel="0" collapsed="false">
      <c r="B55" s="6"/>
      <c r="C55" s="7"/>
      <c r="D55" s="12"/>
      <c r="E55" s="32"/>
      <c r="F55" s="12"/>
      <c r="G55" s="7"/>
    </row>
    <row r="56" customFormat="false" ht="18.75" hidden="false" customHeight="true" outlineLevel="0" collapsed="false">
      <c r="B56" s="14"/>
      <c r="C56" s="15"/>
      <c r="D56" s="18"/>
      <c r="E56" s="31"/>
      <c r="F56" s="18"/>
      <c r="G56" s="15"/>
    </row>
    <row r="57" customFormat="false" ht="18.75" hidden="false" customHeight="true" outlineLevel="0" collapsed="false">
      <c r="B57" s="6"/>
      <c r="C57" s="7"/>
      <c r="D57" s="12"/>
      <c r="E57" s="32"/>
      <c r="F57" s="12"/>
      <c r="G57" s="7"/>
    </row>
    <row r="58" customFormat="false" ht="18.75" hidden="false" customHeight="true" outlineLevel="0" collapsed="false">
      <c r="B58" s="14"/>
      <c r="C58" s="15"/>
      <c r="D58" s="18"/>
      <c r="E58" s="31"/>
      <c r="F58" s="18"/>
      <c r="G58" s="15"/>
    </row>
    <row r="59" customFormat="false" ht="18.75" hidden="false" customHeight="true" outlineLevel="0" collapsed="false">
      <c r="B59" s="6"/>
      <c r="C59" s="7"/>
      <c r="D59" s="12"/>
      <c r="E59" s="32"/>
      <c r="F59" s="12"/>
      <c r="G59" s="7"/>
    </row>
    <row r="60" customFormat="false" ht="18.75" hidden="false" customHeight="true" outlineLevel="0" collapsed="false">
      <c r="B60" s="14"/>
      <c r="C60" s="15"/>
      <c r="D60" s="18"/>
      <c r="E60" s="31"/>
      <c r="F60" s="18"/>
      <c r="G60" s="15"/>
    </row>
    <row r="61" customFormat="false" ht="18.75" hidden="false" customHeight="true" outlineLevel="0" collapsed="false">
      <c r="B61" s="6"/>
      <c r="C61" s="7"/>
      <c r="D61" s="12"/>
      <c r="E61" s="32"/>
      <c r="F61" s="12"/>
      <c r="G61" s="7"/>
    </row>
    <row r="62" customFormat="false" ht="18.75" hidden="false" customHeight="true" outlineLevel="0" collapsed="false">
      <c r="B62" s="14"/>
      <c r="C62" s="15"/>
      <c r="D62" s="18"/>
      <c r="E62" s="31"/>
      <c r="F62" s="18"/>
      <c r="G62" s="15"/>
    </row>
    <row r="63" customFormat="false" ht="18.75" hidden="false" customHeight="true" outlineLevel="0" collapsed="false">
      <c r="B63" s="6"/>
      <c r="C63" s="7"/>
      <c r="D63" s="12"/>
      <c r="E63" s="32"/>
      <c r="F63" s="12"/>
      <c r="G63" s="7"/>
    </row>
    <row r="64" customFormat="false" ht="18.75" hidden="false" customHeight="true" outlineLevel="0" collapsed="false">
      <c r="B64" s="14"/>
      <c r="C64" s="15"/>
      <c r="D64" s="18"/>
      <c r="E64" s="31"/>
      <c r="F64" s="18"/>
      <c r="G64" s="15"/>
    </row>
    <row r="65" customFormat="false" ht="18.75" hidden="false" customHeight="true" outlineLevel="0" collapsed="false">
      <c r="B65" s="6"/>
      <c r="C65" s="7"/>
      <c r="D65" s="12"/>
      <c r="E65" s="32"/>
      <c r="F65" s="12"/>
      <c r="G65" s="7"/>
    </row>
    <row r="66" customFormat="false" ht="18.75" hidden="false" customHeight="true" outlineLevel="0" collapsed="false">
      <c r="B66" s="14"/>
      <c r="C66" s="15"/>
      <c r="D66" s="18"/>
      <c r="E66" s="31"/>
      <c r="F66" s="18"/>
      <c r="G66" s="15"/>
    </row>
    <row r="67" customFormat="false" ht="18.75" hidden="false" customHeight="true" outlineLevel="0" collapsed="false">
      <c r="B67" s="6"/>
      <c r="C67" s="7"/>
      <c r="D67" s="12"/>
      <c r="E67" s="32"/>
      <c r="F67" s="12"/>
      <c r="G67" s="7"/>
    </row>
    <row r="68" customFormat="false" ht="18.75" hidden="false" customHeight="true" outlineLevel="0" collapsed="false">
      <c r="B68" s="14"/>
      <c r="C68" s="15"/>
      <c r="D68" s="18"/>
      <c r="E68" s="31"/>
      <c r="F68" s="18"/>
      <c r="G68" s="15"/>
    </row>
    <row r="69" customFormat="false" ht="18.75" hidden="false" customHeight="true" outlineLevel="0" collapsed="false">
      <c r="B69" s="6"/>
      <c r="C69" s="7"/>
      <c r="D69" s="12"/>
      <c r="E69" s="32"/>
      <c r="F69" s="12"/>
      <c r="G69" s="7"/>
    </row>
    <row r="70" customFormat="false" ht="18.75" hidden="false" customHeight="true" outlineLevel="0" collapsed="false">
      <c r="B70" s="14"/>
      <c r="C70" s="15"/>
      <c r="D70" s="18"/>
      <c r="E70" s="31"/>
      <c r="F70" s="18"/>
      <c r="G70" s="15"/>
    </row>
    <row r="71" customFormat="false" ht="18.75" hidden="false" customHeight="true" outlineLevel="0" collapsed="false">
      <c r="B71" s="6"/>
      <c r="C71" s="7"/>
      <c r="D71" s="12"/>
      <c r="E71" s="32"/>
      <c r="F71" s="12"/>
      <c r="G71" s="7"/>
    </row>
    <row r="72" customFormat="false" ht="18.75" hidden="false" customHeight="true" outlineLevel="0" collapsed="false">
      <c r="B72" s="14"/>
      <c r="C72" s="15"/>
      <c r="D72" s="18"/>
      <c r="E72" s="31"/>
      <c r="F72" s="18"/>
      <c r="G72" s="15"/>
    </row>
    <row r="73" customFormat="false" ht="18.75" hidden="false" customHeight="true" outlineLevel="0" collapsed="false">
      <c r="B73" s="6"/>
      <c r="C73" s="7"/>
      <c r="D73" s="12"/>
      <c r="E73" s="32"/>
      <c r="F73" s="12"/>
      <c r="G73" s="7"/>
    </row>
    <row r="74" customFormat="false" ht="18.75" hidden="false" customHeight="true" outlineLevel="0" collapsed="false">
      <c r="B74" s="14"/>
      <c r="C74" s="15"/>
      <c r="D74" s="18"/>
      <c r="E74" s="31"/>
      <c r="F74" s="18"/>
      <c r="G74" s="15"/>
    </row>
    <row r="75" customFormat="false" ht="18.75" hidden="false" customHeight="true" outlineLevel="0" collapsed="false">
      <c r="B75" s="6"/>
      <c r="C75" s="7"/>
      <c r="D75" s="12"/>
      <c r="E75" s="32"/>
      <c r="F75" s="12"/>
      <c r="G75" s="7"/>
    </row>
    <row r="76" customFormat="false" ht="18.75" hidden="false" customHeight="true" outlineLevel="0" collapsed="false">
      <c r="B76" s="14"/>
      <c r="C76" s="15"/>
      <c r="D76" s="18"/>
      <c r="E76" s="31"/>
      <c r="F76" s="18"/>
      <c r="G76" s="15"/>
    </row>
    <row r="77" customFormat="false" ht="18.75" hidden="false" customHeight="true" outlineLevel="0" collapsed="false">
      <c r="B77" s="6"/>
      <c r="C77" s="7"/>
      <c r="D77" s="12"/>
      <c r="E77" s="32"/>
      <c r="F77" s="12"/>
      <c r="G77" s="7"/>
    </row>
    <row r="78" customFormat="false" ht="18.75" hidden="false" customHeight="true" outlineLevel="0" collapsed="false">
      <c r="B78" s="14"/>
      <c r="C78" s="15"/>
      <c r="D78" s="18"/>
      <c r="E78" s="31"/>
      <c r="F78" s="18"/>
      <c r="G78" s="15"/>
    </row>
    <row r="79" customFormat="false" ht="18.75" hidden="false" customHeight="true" outlineLevel="0" collapsed="false">
      <c r="B79" s="6"/>
      <c r="C79" s="7"/>
      <c r="D79" s="12"/>
      <c r="E79" s="32"/>
      <c r="F79" s="12"/>
      <c r="G79" s="7"/>
    </row>
    <row r="80" customFormat="false" ht="18.75" hidden="false" customHeight="true" outlineLevel="0" collapsed="false">
      <c r="B80" s="14"/>
      <c r="C80" s="15"/>
      <c r="D80" s="18"/>
      <c r="E80" s="31"/>
      <c r="F80" s="18"/>
      <c r="G80" s="15"/>
    </row>
    <row r="81" customFormat="false" ht="18.75" hidden="false" customHeight="true" outlineLevel="0" collapsed="false">
      <c r="B81" s="6"/>
      <c r="C81" s="7"/>
      <c r="D81" s="12"/>
      <c r="E81" s="32"/>
      <c r="F81" s="12"/>
      <c r="G81" s="7"/>
    </row>
    <row r="82" customFormat="false" ht="18.75" hidden="false" customHeight="true" outlineLevel="0" collapsed="false">
      <c r="B82" s="14"/>
      <c r="C82" s="15"/>
      <c r="D82" s="18"/>
      <c r="E82" s="31"/>
      <c r="F82" s="18"/>
      <c r="G82" s="15"/>
    </row>
    <row r="83" customFormat="false" ht="18.75" hidden="false" customHeight="true" outlineLevel="0" collapsed="false">
      <c r="B83" s="6"/>
      <c r="C83" s="7"/>
      <c r="D83" s="12"/>
      <c r="E83" s="32"/>
      <c r="F83" s="12"/>
      <c r="G83" s="7"/>
    </row>
    <row r="84" customFormat="false" ht="18.75" hidden="false" customHeight="true" outlineLevel="0" collapsed="false">
      <c r="B84" s="14"/>
      <c r="C84" s="15"/>
      <c r="D84" s="18"/>
      <c r="E84" s="31"/>
      <c r="F84" s="18"/>
      <c r="G84" s="15"/>
    </row>
    <row r="85" customFormat="false" ht="18.75" hidden="false" customHeight="true" outlineLevel="0" collapsed="false">
      <c r="B85" s="6"/>
      <c r="C85" s="7"/>
      <c r="D85" s="12"/>
      <c r="E85" s="32"/>
      <c r="F85" s="12"/>
      <c r="G85" s="7"/>
    </row>
    <row r="86" customFormat="false" ht="18.75" hidden="false" customHeight="true" outlineLevel="0" collapsed="false">
      <c r="B86" s="14"/>
      <c r="C86" s="15"/>
      <c r="D86" s="18"/>
      <c r="E86" s="31"/>
      <c r="F86" s="18"/>
      <c r="G86" s="15"/>
    </row>
    <row r="87" customFormat="false" ht="18.75" hidden="false" customHeight="true" outlineLevel="0" collapsed="false">
      <c r="B87" s="6"/>
      <c r="C87" s="7"/>
      <c r="D87" s="12"/>
      <c r="E87" s="32"/>
      <c r="F87" s="12"/>
      <c r="G87" s="7"/>
    </row>
    <row r="88" customFormat="false" ht="18.75" hidden="false" customHeight="true" outlineLevel="0" collapsed="false">
      <c r="B88" s="14"/>
      <c r="C88" s="15"/>
      <c r="D88" s="18"/>
      <c r="E88" s="31"/>
      <c r="F88" s="18"/>
      <c r="G88" s="15"/>
    </row>
    <row r="89" customFormat="false" ht="18.75" hidden="false" customHeight="true" outlineLevel="0" collapsed="false">
      <c r="B89" s="6"/>
      <c r="C89" s="7"/>
      <c r="D89" s="12"/>
      <c r="E89" s="32"/>
      <c r="F89" s="12"/>
      <c r="G89" s="7"/>
    </row>
    <row r="90" customFormat="false" ht="18.75" hidden="false" customHeight="true" outlineLevel="0" collapsed="false">
      <c r="B90" s="14"/>
      <c r="C90" s="15"/>
      <c r="D90" s="18"/>
      <c r="E90" s="31"/>
      <c r="F90" s="18"/>
      <c r="G90" s="15"/>
    </row>
    <row r="91" customFormat="false" ht="18.75" hidden="false" customHeight="true" outlineLevel="0" collapsed="false">
      <c r="B91" s="6"/>
      <c r="C91" s="7"/>
      <c r="D91" s="12"/>
      <c r="E91" s="32"/>
      <c r="F91" s="12"/>
      <c r="G91" s="7"/>
    </row>
    <row r="92" customFormat="false" ht="18.75" hidden="false" customHeight="true" outlineLevel="0" collapsed="false">
      <c r="B92" s="14"/>
      <c r="C92" s="15"/>
      <c r="D92" s="18"/>
      <c r="E92" s="31"/>
      <c r="F92" s="18"/>
      <c r="G92" s="15"/>
    </row>
    <row r="93" customFormat="false" ht="18.75" hidden="false" customHeight="true" outlineLevel="0" collapsed="false">
      <c r="B93" s="6"/>
      <c r="C93" s="7"/>
      <c r="D93" s="12"/>
      <c r="E93" s="32"/>
      <c r="F93" s="12"/>
      <c r="G93" s="7"/>
    </row>
    <row r="94" customFormat="false" ht="18.75" hidden="false" customHeight="true" outlineLevel="0" collapsed="false">
      <c r="B94" s="14"/>
      <c r="C94" s="15"/>
      <c r="D94" s="18"/>
      <c r="E94" s="31"/>
      <c r="F94" s="18"/>
      <c r="G94" s="15"/>
    </row>
    <row r="95" customFormat="false" ht="18.75" hidden="false" customHeight="true" outlineLevel="0" collapsed="false">
      <c r="B95" s="6"/>
      <c r="C95" s="7"/>
      <c r="D95" s="12"/>
      <c r="E95" s="32"/>
      <c r="F95" s="12"/>
      <c r="G95" s="7"/>
    </row>
    <row r="96" customFormat="false" ht="18.75" hidden="false" customHeight="true" outlineLevel="0" collapsed="false">
      <c r="B96" s="14"/>
      <c r="C96" s="15"/>
      <c r="D96" s="18"/>
      <c r="E96" s="31"/>
      <c r="F96" s="18"/>
      <c r="G96" s="15"/>
    </row>
    <row r="97" customFormat="false" ht="18.75" hidden="false" customHeight="true" outlineLevel="0" collapsed="false">
      <c r="B97" s="6"/>
      <c r="C97" s="7"/>
      <c r="D97" s="12"/>
      <c r="E97" s="32"/>
      <c r="F97" s="12"/>
      <c r="G97" s="7"/>
    </row>
    <row r="98" customFormat="false" ht="18.75" hidden="false" customHeight="true" outlineLevel="0" collapsed="false">
      <c r="B98" s="14"/>
      <c r="C98" s="15"/>
      <c r="D98" s="18"/>
      <c r="E98" s="31"/>
      <c r="F98" s="18"/>
      <c r="G98" s="15"/>
    </row>
    <row r="99" customFormat="false" ht="18.75" hidden="false" customHeight="true" outlineLevel="0" collapsed="false">
      <c r="B99" s="6"/>
      <c r="C99" s="7"/>
      <c r="D99" s="12"/>
      <c r="E99" s="32"/>
      <c r="F99" s="12"/>
      <c r="G99" s="7"/>
    </row>
    <row r="100" customFormat="false" ht="18.75" hidden="false" customHeight="true" outlineLevel="0" collapsed="false">
      <c r="B100" s="14"/>
      <c r="C100" s="15"/>
      <c r="D100" s="18"/>
      <c r="E100" s="31"/>
      <c r="F100" s="18"/>
      <c r="G100" s="15"/>
    </row>
    <row r="101" customFormat="false" ht="18.75" hidden="false" customHeight="true" outlineLevel="0" collapsed="false">
      <c r="B101" s="6"/>
      <c r="C101" s="7"/>
      <c r="D101" s="12"/>
      <c r="E101" s="32"/>
      <c r="F101" s="12"/>
      <c r="G101" s="7"/>
    </row>
    <row r="102" customFormat="false" ht="18.75" hidden="false" customHeight="true" outlineLevel="0" collapsed="false">
      <c r="B102" s="14"/>
      <c r="C102" s="15"/>
      <c r="D102" s="18"/>
      <c r="E102" s="31"/>
      <c r="F102" s="18"/>
      <c r="G102" s="15"/>
    </row>
    <row r="103" customFormat="false" ht="18.75" hidden="false" customHeight="true" outlineLevel="0" collapsed="false">
      <c r="B103" s="6"/>
      <c r="C103" s="7"/>
      <c r="D103" s="12"/>
      <c r="E103" s="32"/>
      <c r="F103" s="12"/>
      <c r="G103" s="7"/>
    </row>
    <row r="104" customFormat="false" ht="18.75" hidden="false" customHeight="true" outlineLevel="0" collapsed="false">
      <c r="B104" s="14"/>
      <c r="C104" s="15"/>
      <c r="D104" s="18"/>
      <c r="E104" s="31"/>
      <c r="F104" s="18"/>
      <c r="G104" s="15"/>
    </row>
    <row r="105" customFormat="false" ht="18.75" hidden="false" customHeight="true" outlineLevel="0" collapsed="false">
      <c r="B105" s="6"/>
      <c r="C105" s="7"/>
      <c r="D105" s="12"/>
      <c r="E105" s="32"/>
      <c r="F105" s="12"/>
      <c r="G105" s="7"/>
    </row>
    <row r="106" customFormat="false" ht="18.75" hidden="false" customHeight="true" outlineLevel="0" collapsed="false">
      <c r="B106" s="14"/>
      <c r="C106" s="15"/>
      <c r="D106" s="18"/>
      <c r="E106" s="31"/>
      <c r="F106" s="18"/>
      <c r="G106" s="15"/>
    </row>
    <row r="107" customFormat="false" ht="18.75" hidden="false" customHeight="true" outlineLevel="0" collapsed="false">
      <c r="B107" s="6"/>
      <c r="C107" s="7"/>
      <c r="D107" s="12"/>
      <c r="E107" s="32"/>
      <c r="F107" s="12"/>
      <c r="G107" s="7"/>
    </row>
    <row r="108" customFormat="false" ht="18.75" hidden="false" customHeight="true" outlineLevel="0" collapsed="false">
      <c r="B108" s="14"/>
      <c r="C108" s="15"/>
      <c r="D108" s="18"/>
      <c r="E108" s="31"/>
      <c r="F108" s="18"/>
      <c r="G108" s="15"/>
    </row>
    <row r="109" customFormat="false" ht="18.75" hidden="false" customHeight="true" outlineLevel="0" collapsed="false">
      <c r="B109" s="6"/>
      <c r="C109" s="7"/>
      <c r="D109" s="12"/>
      <c r="E109" s="32"/>
      <c r="F109" s="12"/>
      <c r="G109" s="7"/>
    </row>
    <row r="110" customFormat="false" ht="18.75" hidden="false" customHeight="true" outlineLevel="0" collapsed="false">
      <c r="B110" s="14"/>
      <c r="C110" s="15"/>
      <c r="D110" s="18"/>
      <c r="E110" s="31"/>
      <c r="F110" s="18"/>
      <c r="G110" s="15"/>
    </row>
    <row r="111" customFormat="false" ht="18.75" hidden="false" customHeight="true" outlineLevel="0" collapsed="false">
      <c r="B111" s="6"/>
      <c r="C111" s="7"/>
      <c r="D111" s="12"/>
      <c r="E111" s="32"/>
      <c r="F111" s="12"/>
      <c r="G111" s="7"/>
    </row>
    <row r="112" customFormat="false" ht="18.75" hidden="false" customHeight="true" outlineLevel="0" collapsed="false">
      <c r="B112" s="14"/>
      <c r="C112" s="15"/>
      <c r="D112" s="18"/>
      <c r="E112" s="31"/>
      <c r="F112" s="18"/>
      <c r="G112" s="15"/>
    </row>
    <row r="113" customFormat="false" ht="18.75" hidden="false" customHeight="true" outlineLevel="0" collapsed="false">
      <c r="B113" s="6"/>
      <c r="C113" s="7"/>
      <c r="D113" s="12"/>
      <c r="E113" s="32"/>
      <c r="F113" s="12"/>
      <c r="G113" s="7"/>
    </row>
    <row r="114" customFormat="false" ht="18.75" hidden="false" customHeight="true" outlineLevel="0" collapsed="false">
      <c r="B114" s="14"/>
      <c r="C114" s="15"/>
      <c r="D114" s="18"/>
      <c r="E114" s="31"/>
      <c r="F114" s="18"/>
      <c r="G114" s="15"/>
    </row>
    <row r="115" customFormat="false" ht="18.75" hidden="false" customHeight="true" outlineLevel="0" collapsed="false">
      <c r="B115" s="6"/>
      <c r="C115" s="7"/>
      <c r="D115" s="12"/>
      <c r="E115" s="32"/>
      <c r="F115" s="12"/>
      <c r="G115" s="7"/>
    </row>
    <row r="116" customFormat="false" ht="18.75" hidden="false" customHeight="true" outlineLevel="0" collapsed="false">
      <c r="B116" s="14"/>
      <c r="C116" s="15"/>
      <c r="D116" s="18"/>
      <c r="E116" s="31"/>
      <c r="F116" s="18"/>
      <c r="G116" s="15"/>
    </row>
    <row r="117" customFormat="false" ht="18.75" hidden="false" customHeight="true" outlineLevel="0" collapsed="false">
      <c r="B117" s="6"/>
      <c r="C117" s="7"/>
      <c r="D117" s="12"/>
      <c r="E117" s="32"/>
      <c r="F117" s="12"/>
      <c r="G117" s="7"/>
    </row>
    <row r="118" customFormat="false" ht="18.75" hidden="false" customHeight="true" outlineLevel="0" collapsed="false">
      <c r="B118" s="14"/>
      <c r="C118" s="15"/>
      <c r="D118" s="18"/>
      <c r="E118" s="31"/>
      <c r="F118" s="18"/>
      <c r="G118" s="15"/>
    </row>
    <row r="119" customFormat="false" ht="18.75" hidden="false" customHeight="true" outlineLevel="0" collapsed="false">
      <c r="B119" s="6"/>
      <c r="C119" s="7"/>
      <c r="D119" s="12"/>
      <c r="E119" s="32"/>
      <c r="F119" s="12"/>
      <c r="G119" s="7"/>
    </row>
    <row r="120" customFormat="false" ht="18.75" hidden="false" customHeight="true" outlineLevel="0" collapsed="false">
      <c r="B120" s="14"/>
      <c r="C120" s="15"/>
      <c r="D120" s="18"/>
      <c r="E120" s="31"/>
      <c r="F120" s="18"/>
      <c r="G120" s="15"/>
    </row>
    <row r="121" customFormat="false" ht="18.75" hidden="false" customHeight="true" outlineLevel="0" collapsed="false">
      <c r="B121" s="6"/>
      <c r="C121" s="7"/>
      <c r="D121" s="12"/>
      <c r="E121" s="32"/>
      <c r="F121" s="12"/>
      <c r="G121" s="7"/>
    </row>
    <row r="122" customFormat="false" ht="18.75" hidden="false" customHeight="true" outlineLevel="0" collapsed="false">
      <c r="B122" s="14"/>
      <c r="C122" s="15"/>
      <c r="D122" s="18"/>
      <c r="E122" s="31"/>
      <c r="F122" s="18"/>
      <c r="G122" s="15"/>
    </row>
    <row r="123" customFormat="false" ht="18.75" hidden="false" customHeight="true" outlineLevel="0" collapsed="false">
      <c r="B123" s="6"/>
      <c r="C123" s="7"/>
      <c r="D123" s="12"/>
      <c r="E123" s="32"/>
      <c r="F123" s="12"/>
      <c r="G123" s="7"/>
    </row>
    <row r="124" customFormat="false" ht="18.75" hidden="false" customHeight="true" outlineLevel="0" collapsed="false">
      <c r="B124" s="14"/>
      <c r="C124" s="15"/>
      <c r="D124" s="18"/>
      <c r="E124" s="31"/>
      <c r="F124" s="18"/>
      <c r="G124" s="15"/>
    </row>
    <row r="125" customFormat="false" ht="18.75" hidden="false" customHeight="true" outlineLevel="0" collapsed="false">
      <c r="B125" s="6"/>
      <c r="C125" s="7"/>
      <c r="D125" s="12"/>
      <c r="E125" s="32"/>
      <c r="F125" s="12"/>
      <c r="G125" s="7"/>
    </row>
    <row r="126" customFormat="false" ht="18.75" hidden="false" customHeight="true" outlineLevel="0" collapsed="false">
      <c r="B126" s="14"/>
      <c r="C126" s="15"/>
      <c r="D126" s="18"/>
      <c r="E126" s="31"/>
      <c r="F126" s="18"/>
      <c r="G126" s="15"/>
    </row>
    <row r="127" customFormat="false" ht="18.75" hidden="false" customHeight="true" outlineLevel="0" collapsed="false">
      <c r="B127" s="6"/>
      <c r="C127" s="7"/>
      <c r="D127" s="12"/>
      <c r="E127" s="32"/>
      <c r="F127" s="12"/>
      <c r="G127" s="7"/>
    </row>
    <row r="128" customFormat="false" ht="18.75" hidden="false" customHeight="true" outlineLevel="0" collapsed="false">
      <c r="B128" s="14"/>
      <c r="C128" s="15"/>
      <c r="D128" s="18"/>
      <c r="E128" s="31"/>
      <c r="F128" s="18"/>
      <c r="G128" s="15"/>
    </row>
    <row r="129" customFormat="false" ht="18.75" hidden="false" customHeight="true" outlineLevel="0" collapsed="false">
      <c r="B129" s="6"/>
      <c r="C129" s="7"/>
      <c r="D129" s="12"/>
      <c r="E129" s="32"/>
      <c r="F129" s="12"/>
      <c r="G129" s="7"/>
    </row>
    <row r="130" customFormat="false" ht="18.75" hidden="false" customHeight="true" outlineLevel="0" collapsed="false">
      <c r="B130" s="14"/>
      <c r="C130" s="15"/>
      <c r="D130" s="18"/>
      <c r="E130" s="31"/>
      <c r="F130" s="18"/>
      <c r="G130" s="15"/>
    </row>
    <row r="131" customFormat="false" ht="18.75" hidden="false" customHeight="true" outlineLevel="0" collapsed="false">
      <c r="B131" s="6"/>
      <c r="C131" s="7"/>
      <c r="D131" s="12"/>
      <c r="E131" s="32"/>
      <c r="F131" s="12"/>
      <c r="G131" s="7"/>
    </row>
    <row r="132" customFormat="false" ht="18.75" hidden="false" customHeight="true" outlineLevel="0" collapsed="false">
      <c r="B132" s="14"/>
      <c r="C132" s="15"/>
      <c r="D132" s="18"/>
      <c r="E132" s="31"/>
      <c r="F132" s="18"/>
      <c r="G132" s="15"/>
    </row>
    <row r="133" customFormat="false" ht="18.75" hidden="false" customHeight="true" outlineLevel="0" collapsed="false">
      <c r="B133" s="6"/>
      <c r="C133" s="7"/>
      <c r="D133" s="12"/>
      <c r="E133" s="32"/>
      <c r="F133" s="12"/>
      <c r="G133" s="7"/>
    </row>
    <row r="134" customFormat="false" ht="18.75" hidden="false" customHeight="true" outlineLevel="0" collapsed="false">
      <c r="B134" s="14"/>
      <c r="C134" s="15"/>
      <c r="D134" s="18"/>
      <c r="E134" s="31"/>
      <c r="F134" s="18"/>
      <c r="G134" s="15"/>
    </row>
    <row r="135" customFormat="false" ht="18.75" hidden="false" customHeight="true" outlineLevel="0" collapsed="false">
      <c r="B135" s="6"/>
      <c r="C135" s="7"/>
      <c r="D135" s="12"/>
      <c r="E135" s="32"/>
      <c r="F135" s="12"/>
      <c r="G135" s="7"/>
    </row>
    <row r="136" customFormat="false" ht="18.75" hidden="false" customHeight="true" outlineLevel="0" collapsed="false">
      <c r="B136" s="14"/>
      <c r="C136" s="15"/>
      <c r="D136" s="18"/>
      <c r="E136" s="31"/>
      <c r="F136" s="18"/>
      <c r="G136" s="15"/>
    </row>
    <row r="137" customFormat="false" ht="18.75" hidden="false" customHeight="true" outlineLevel="0" collapsed="false">
      <c r="B137" s="6"/>
      <c r="C137" s="7"/>
      <c r="D137" s="12"/>
      <c r="E137" s="32"/>
      <c r="F137" s="12"/>
      <c r="G137" s="7"/>
    </row>
    <row r="138" customFormat="false" ht="18.75" hidden="false" customHeight="true" outlineLevel="0" collapsed="false">
      <c r="B138" s="14"/>
      <c r="C138" s="15"/>
      <c r="D138" s="18"/>
      <c r="E138" s="31"/>
      <c r="F138" s="18"/>
      <c r="G138" s="15"/>
    </row>
    <row r="139" customFormat="false" ht="18.75" hidden="false" customHeight="true" outlineLevel="0" collapsed="false">
      <c r="B139" s="6"/>
      <c r="C139" s="7"/>
      <c r="D139" s="12"/>
      <c r="E139" s="32"/>
      <c r="F139" s="12"/>
      <c r="G139" s="7"/>
    </row>
    <row r="140" customFormat="false" ht="18.75" hidden="false" customHeight="true" outlineLevel="0" collapsed="false">
      <c r="B140" s="14"/>
      <c r="C140" s="15"/>
      <c r="D140" s="18"/>
      <c r="E140" s="31"/>
      <c r="F140" s="18"/>
      <c r="G140" s="15"/>
    </row>
    <row r="141" customFormat="false" ht="18.75" hidden="false" customHeight="true" outlineLevel="0" collapsed="false">
      <c r="B141" s="6"/>
      <c r="C141" s="7"/>
      <c r="D141" s="12"/>
      <c r="E141" s="32"/>
      <c r="F141" s="12"/>
      <c r="G141" s="7"/>
    </row>
    <row r="142" customFormat="false" ht="18.75" hidden="false" customHeight="true" outlineLevel="0" collapsed="false">
      <c r="B142" s="14"/>
      <c r="C142" s="15"/>
      <c r="D142" s="18"/>
      <c r="E142" s="31"/>
      <c r="F142" s="18"/>
      <c r="G142" s="15"/>
    </row>
    <row r="143" customFormat="false" ht="18.75" hidden="false" customHeight="true" outlineLevel="0" collapsed="false">
      <c r="B143" s="6"/>
      <c r="C143" s="7"/>
      <c r="D143" s="12"/>
      <c r="E143" s="32"/>
      <c r="F143" s="12"/>
      <c r="G143" s="7"/>
    </row>
    <row r="144" customFormat="false" ht="18.75" hidden="false" customHeight="true" outlineLevel="0" collapsed="false">
      <c r="B144" s="14"/>
      <c r="C144" s="15"/>
      <c r="D144" s="18"/>
      <c r="E144" s="31"/>
      <c r="F144" s="18"/>
      <c r="G144" s="15"/>
    </row>
    <row r="145" customFormat="false" ht="18.75" hidden="false" customHeight="true" outlineLevel="0" collapsed="false">
      <c r="B145" s="6"/>
      <c r="C145" s="7"/>
      <c r="D145" s="12"/>
      <c r="E145" s="32"/>
      <c r="F145" s="12"/>
      <c r="G145" s="7"/>
    </row>
    <row r="146" customFormat="false" ht="18.75" hidden="false" customHeight="true" outlineLevel="0" collapsed="false">
      <c r="B146" s="14"/>
      <c r="C146" s="15"/>
      <c r="D146" s="18"/>
      <c r="E146" s="31"/>
      <c r="F146" s="18"/>
      <c r="G146" s="15"/>
    </row>
    <row r="147" customFormat="false" ht="18.75" hidden="false" customHeight="true" outlineLevel="0" collapsed="false">
      <c r="B147" s="6"/>
      <c r="C147" s="7"/>
      <c r="D147" s="12"/>
      <c r="E147" s="32"/>
      <c r="F147" s="12"/>
      <c r="G147" s="7"/>
    </row>
    <row r="148" customFormat="false" ht="18.75" hidden="false" customHeight="true" outlineLevel="0" collapsed="false">
      <c r="B148" s="14"/>
      <c r="C148" s="15"/>
      <c r="D148" s="18"/>
      <c r="E148" s="31"/>
      <c r="F148" s="18"/>
      <c r="G148" s="15"/>
    </row>
    <row r="149" customFormat="false" ht="18.75" hidden="false" customHeight="true" outlineLevel="0" collapsed="false">
      <c r="B149" s="6"/>
      <c r="C149" s="7"/>
      <c r="D149" s="12"/>
      <c r="E149" s="32"/>
      <c r="F149" s="12"/>
      <c r="G149" s="7"/>
    </row>
    <row r="150" customFormat="false" ht="18.75" hidden="false" customHeight="true" outlineLevel="0" collapsed="false">
      <c r="B150" s="14"/>
      <c r="C150" s="15"/>
      <c r="D150" s="18"/>
      <c r="E150" s="31"/>
      <c r="F150" s="18"/>
      <c r="G150" s="15"/>
    </row>
    <row r="151" customFormat="false" ht="18.75" hidden="false" customHeight="true" outlineLevel="0" collapsed="false">
      <c r="B151" s="6"/>
      <c r="C151" s="7"/>
      <c r="D151" s="12"/>
      <c r="E151" s="32"/>
      <c r="F151" s="12"/>
      <c r="G151" s="7"/>
    </row>
    <row r="152" customFormat="false" ht="18.75" hidden="false" customHeight="true" outlineLevel="0" collapsed="false">
      <c r="B152" s="14"/>
      <c r="C152" s="15"/>
      <c r="D152" s="18"/>
      <c r="E152" s="31"/>
      <c r="F152" s="18"/>
      <c r="G152" s="15"/>
    </row>
    <row r="153" customFormat="false" ht="18.75" hidden="false" customHeight="true" outlineLevel="0" collapsed="false">
      <c r="B153" s="6"/>
      <c r="C153" s="7"/>
      <c r="D153" s="12"/>
      <c r="E153" s="32"/>
      <c r="F153" s="12"/>
      <c r="G153" s="7"/>
    </row>
    <row r="154" customFormat="false" ht="18.75" hidden="false" customHeight="true" outlineLevel="0" collapsed="false">
      <c r="B154" s="14"/>
      <c r="C154" s="15"/>
      <c r="D154" s="18"/>
      <c r="E154" s="31"/>
      <c r="F154" s="18"/>
      <c r="G154" s="15"/>
    </row>
    <row r="155" customFormat="false" ht="18.75" hidden="false" customHeight="true" outlineLevel="0" collapsed="false">
      <c r="B155" s="6"/>
      <c r="C155" s="7"/>
      <c r="D155" s="12"/>
      <c r="E155" s="32"/>
      <c r="F155" s="12"/>
      <c r="G155" s="7"/>
    </row>
    <row r="156" customFormat="false" ht="18.75" hidden="false" customHeight="true" outlineLevel="0" collapsed="false">
      <c r="B156" s="14"/>
      <c r="C156" s="15"/>
      <c r="D156" s="18"/>
      <c r="E156" s="31"/>
      <c r="F156" s="18"/>
      <c r="G156" s="15"/>
    </row>
    <row r="157" customFormat="false" ht="18.75" hidden="false" customHeight="true" outlineLevel="0" collapsed="false">
      <c r="B157" s="6"/>
      <c r="C157" s="7"/>
      <c r="D157" s="12"/>
      <c r="E157" s="32"/>
      <c r="F157" s="12"/>
      <c r="G157" s="7"/>
    </row>
    <row r="158" customFormat="false" ht="18.75" hidden="false" customHeight="true" outlineLevel="0" collapsed="false">
      <c r="B158" s="14"/>
      <c r="C158" s="15"/>
      <c r="D158" s="18"/>
      <c r="E158" s="31"/>
      <c r="F158" s="18"/>
      <c r="G158" s="15"/>
    </row>
    <row r="159" customFormat="false" ht="18.75" hidden="false" customHeight="true" outlineLevel="0" collapsed="false">
      <c r="B159" s="6"/>
      <c r="C159" s="7"/>
      <c r="D159" s="12"/>
      <c r="E159" s="32"/>
      <c r="F159" s="12"/>
      <c r="G159" s="7"/>
    </row>
    <row r="160" customFormat="false" ht="18.75" hidden="false" customHeight="true" outlineLevel="0" collapsed="false">
      <c r="B160" s="14"/>
      <c r="C160" s="15"/>
      <c r="D160" s="18"/>
      <c r="E160" s="31"/>
      <c r="F160" s="18"/>
      <c r="G160" s="15"/>
    </row>
    <row r="161" customFormat="false" ht="18.75" hidden="false" customHeight="true" outlineLevel="0" collapsed="false">
      <c r="B161" s="6"/>
      <c r="C161" s="7"/>
      <c r="D161" s="12"/>
      <c r="E161" s="32"/>
      <c r="F161" s="12"/>
      <c r="G161" s="7"/>
    </row>
    <row r="162" customFormat="false" ht="18.75" hidden="false" customHeight="true" outlineLevel="0" collapsed="false">
      <c r="B162" s="14"/>
      <c r="C162" s="15"/>
      <c r="D162" s="18"/>
      <c r="E162" s="31"/>
      <c r="F162" s="18"/>
      <c r="G162" s="15"/>
    </row>
    <row r="163" customFormat="false" ht="18.75" hidden="false" customHeight="true" outlineLevel="0" collapsed="false">
      <c r="B163" s="6"/>
      <c r="C163" s="7"/>
      <c r="D163" s="12"/>
      <c r="E163" s="32"/>
      <c r="F163" s="12"/>
      <c r="G163" s="7"/>
    </row>
    <row r="164" customFormat="false" ht="18.75" hidden="false" customHeight="true" outlineLevel="0" collapsed="false">
      <c r="B164" s="14"/>
      <c r="C164" s="15"/>
      <c r="D164" s="18"/>
      <c r="E164" s="31"/>
      <c r="F164" s="18"/>
      <c r="G164" s="15"/>
    </row>
    <row r="165" customFormat="false" ht="18.75" hidden="false" customHeight="true" outlineLevel="0" collapsed="false">
      <c r="B165" s="6"/>
      <c r="C165" s="7"/>
      <c r="D165" s="12"/>
      <c r="E165" s="32"/>
      <c r="F165" s="12"/>
      <c r="G165" s="7"/>
    </row>
    <row r="166" customFormat="false" ht="18.75" hidden="false" customHeight="true" outlineLevel="0" collapsed="false">
      <c r="B166" s="14"/>
      <c r="C166" s="15"/>
      <c r="D166" s="18"/>
      <c r="E166" s="31"/>
      <c r="F166" s="18"/>
      <c r="G166" s="15"/>
    </row>
    <row r="167" customFormat="false" ht="18.75" hidden="false" customHeight="true" outlineLevel="0" collapsed="false">
      <c r="B167" s="6"/>
      <c r="C167" s="7"/>
      <c r="D167" s="12"/>
      <c r="E167" s="32"/>
      <c r="F167" s="12"/>
      <c r="G167" s="7"/>
    </row>
    <row r="168" customFormat="false" ht="18.75" hidden="false" customHeight="true" outlineLevel="0" collapsed="false">
      <c r="B168" s="14"/>
      <c r="C168" s="15"/>
      <c r="D168" s="18"/>
      <c r="E168" s="31"/>
      <c r="F168" s="18"/>
      <c r="G168" s="15"/>
    </row>
    <row r="169" customFormat="false" ht="18.75" hidden="false" customHeight="true" outlineLevel="0" collapsed="false">
      <c r="B169" s="6"/>
      <c r="C169" s="7"/>
      <c r="D169" s="12"/>
      <c r="E169" s="32"/>
      <c r="F169" s="12"/>
      <c r="G169" s="7"/>
    </row>
    <row r="170" customFormat="false" ht="18.75" hidden="false" customHeight="true" outlineLevel="0" collapsed="false">
      <c r="B170" s="14"/>
      <c r="C170" s="15"/>
      <c r="D170" s="18"/>
      <c r="E170" s="31"/>
      <c r="F170" s="18"/>
      <c r="G170" s="15"/>
    </row>
    <row r="171" customFormat="false" ht="18.75" hidden="false" customHeight="true" outlineLevel="0" collapsed="false">
      <c r="B171" s="6"/>
      <c r="C171" s="7"/>
      <c r="D171" s="12"/>
      <c r="E171" s="32"/>
      <c r="F171" s="12"/>
      <c r="G171" s="7"/>
    </row>
    <row r="172" customFormat="false" ht="18.75" hidden="false" customHeight="true" outlineLevel="0" collapsed="false">
      <c r="B172" s="14"/>
      <c r="C172" s="15"/>
      <c r="D172" s="18"/>
      <c r="E172" s="31"/>
      <c r="F172" s="18"/>
      <c r="G172" s="15"/>
    </row>
    <row r="173" customFormat="false" ht="18.75" hidden="false" customHeight="true" outlineLevel="0" collapsed="false">
      <c r="B173" s="6"/>
      <c r="C173" s="7"/>
      <c r="D173" s="12"/>
      <c r="E173" s="32"/>
      <c r="F173" s="12"/>
      <c r="G173" s="7"/>
    </row>
    <row r="174" customFormat="false" ht="18.75" hidden="false" customHeight="true" outlineLevel="0" collapsed="false">
      <c r="B174" s="14"/>
      <c r="C174" s="15"/>
      <c r="D174" s="18"/>
      <c r="E174" s="31"/>
      <c r="F174" s="18"/>
      <c r="G174" s="15"/>
    </row>
    <row r="175" customFormat="false" ht="18.75" hidden="false" customHeight="true" outlineLevel="0" collapsed="false">
      <c r="B175" s="6"/>
      <c r="C175" s="7"/>
      <c r="D175" s="12"/>
      <c r="E175" s="32"/>
      <c r="F175" s="12"/>
      <c r="G175" s="7"/>
    </row>
    <row r="176" customFormat="false" ht="18.75" hidden="false" customHeight="true" outlineLevel="0" collapsed="false">
      <c r="B176" s="14"/>
      <c r="C176" s="15"/>
      <c r="D176" s="18"/>
      <c r="E176" s="31"/>
      <c r="F176" s="18"/>
      <c r="G176" s="15"/>
    </row>
    <row r="177" customFormat="false" ht="18.75" hidden="false" customHeight="true" outlineLevel="0" collapsed="false">
      <c r="B177" s="6"/>
      <c r="C177" s="7"/>
      <c r="D177" s="12"/>
      <c r="E177" s="32"/>
      <c r="F177" s="12"/>
      <c r="G177" s="7"/>
    </row>
    <row r="178" customFormat="false" ht="18.75" hidden="false" customHeight="true" outlineLevel="0" collapsed="false">
      <c r="B178" s="14"/>
      <c r="C178" s="15"/>
      <c r="D178" s="18"/>
      <c r="E178" s="31"/>
      <c r="F178" s="18"/>
      <c r="G178" s="15"/>
    </row>
    <row r="179" customFormat="false" ht="18.75" hidden="false" customHeight="true" outlineLevel="0" collapsed="false">
      <c r="B179" s="6"/>
      <c r="C179" s="7"/>
      <c r="D179" s="12"/>
      <c r="E179" s="32"/>
      <c r="F179" s="12"/>
      <c r="G179" s="7"/>
    </row>
    <row r="180" customFormat="false" ht="18.75" hidden="false" customHeight="true" outlineLevel="0" collapsed="false">
      <c r="B180" s="14"/>
      <c r="C180" s="15"/>
      <c r="D180" s="18"/>
      <c r="E180" s="31"/>
      <c r="F180" s="18"/>
      <c r="G180" s="15"/>
    </row>
    <row r="181" customFormat="false" ht="18.75" hidden="false" customHeight="true" outlineLevel="0" collapsed="false">
      <c r="B181" s="6"/>
      <c r="C181" s="7"/>
      <c r="D181" s="12"/>
      <c r="E181" s="32"/>
      <c r="F181" s="12"/>
      <c r="G181" s="7"/>
    </row>
    <row r="182" customFormat="false" ht="18.75" hidden="false" customHeight="true" outlineLevel="0" collapsed="false">
      <c r="B182" s="14"/>
      <c r="C182" s="15"/>
      <c r="D182" s="18"/>
      <c r="E182" s="31"/>
      <c r="F182" s="18"/>
      <c r="G182" s="15"/>
    </row>
    <row r="183" customFormat="false" ht="18.75" hidden="false" customHeight="true" outlineLevel="0" collapsed="false">
      <c r="B183" s="6"/>
      <c r="C183" s="7"/>
      <c r="D183" s="12"/>
      <c r="E183" s="32"/>
      <c r="F183" s="12"/>
      <c r="G183" s="7"/>
    </row>
    <row r="184" customFormat="false" ht="18.75" hidden="false" customHeight="true" outlineLevel="0" collapsed="false">
      <c r="B184" s="14"/>
      <c r="C184" s="15"/>
      <c r="D184" s="18"/>
      <c r="E184" s="31"/>
      <c r="F184" s="18"/>
      <c r="G184" s="15"/>
    </row>
    <row r="185" customFormat="false" ht="18.75" hidden="false" customHeight="true" outlineLevel="0" collapsed="false">
      <c r="B185" s="6"/>
      <c r="C185" s="7"/>
      <c r="D185" s="12"/>
      <c r="E185" s="32"/>
      <c r="F185" s="12"/>
      <c r="G185" s="7"/>
    </row>
    <row r="186" customFormat="false" ht="18.75" hidden="false" customHeight="true" outlineLevel="0" collapsed="false">
      <c r="B186" s="14"/>
      <c r="C186" s="15"/>
      <c r="D186" s="18"/>
      <c r="E186" s="31"/>
      <c r="F186" s="18"/>
      <c r="G186" s="15"/>
    </row>
    <row r="187" customFormat="false" ht="18.75" hidden="false" customHeight="true" outlineLevel="0" collapsed="false">
      <c r="B187" s="6"/>
      <c r="C187" s="7"/>
      <c r="D187" s="12"/>
      <c r="E187" s="32"/>
      <c r="F187" s="12"/>
      <c r="G187" s="7"/>
    </row>
    <row r="188" customFormat="false" ht="18.75" hidden="false" customHeight="true" outlineLevel="0" collapsed="false">
      <c r="B188" s="14"/>
      <c r="C188" s="15"/>
      <c r="D188" s="18"/>
      <c r="E188" s="31"/>
      <c r="F188" s="18"/>
      <c r="G188" s="15"/>
    </row>
    <row r="189" customFormat="false" ht="18.75" hidden="false" customHeight="true" outlineLevel="0" collapsed="false">
      <c r="B189" s="6"/>
      <c r="C189" s="7"/>
      <c r="D189" s="12"/>
      <c r="E189" s="32"/>
      <c r="F189" s="12"/>
      <c r="G189" s="7"/>
    </row>
    <row r="190" customFormat="false" ht="18.75" hidden="false" customHeight="true" outlineLevel="0" collapsed="false">
      <c r="B190" s="14"/>
      <c r="C190" s="15"/>
      <c r="D190" s="18"/>
      <c r="E190" s="31"/>
      <c r="F190" s="18"/>
      <c r="G190" s="15"/>
    </row>
    <row r="191" customFormat="false" ht="18.75" hidden="false" customHeight="true" outlineLevel="0" collapsed="false">
      <c r="B191" s="6"/>
      <c r="C191" s="7"/>
      <c r="D191" s="12"/>
      <c r="E191" s="32"/>
      <c r="F191" s="12"/>
      <c r="G191" s="7"/>
    </row>
    <row r="192" customFormat="false" ht="18.75" hidden="false" customHeight="true" outlineLevel="0" collapsed="false">
      <c r="B192" s="14"/>
      <c r="C192" s="15"/>
      <c r="D192" s="18"/>
      <c r="E192" s="31"/>
      <c r="F192" s="18"/>
      <c r="G192" s="15"/>
    </row>
    <row r="193" customFormat="false" ht="18.75" hidden="false" customHeight="true" outlineLevel="0" collapsed="false">
      <c r="B193" s="6"/>
      <c r="C193" s="7"/>
      <c r="D193" s="12"/>
      <c r="E193" s="32"/>
      <c r="F193" s="12"/>
      <c r="G193" s="7"/>
    </row>
    <row r="194" customFormat="false" ht="18.75" hidden="false" customHeight="true" outlineLevel="0" collapsed="false">
      <c r="B194" s="14"/>
      <c r="C194" s="15"/>
      <c r="D194" s="18"/>
      <c r="E194" s="31"/>
      <c r="F194" s="18"/>
      <c r="G194" s="15"/>
    </row>
    <row r="195" customFormat="false" ht="18.75" hidden="false" customHeight="true" outlineLevel="0" collapsed="false">
      <c r="B195" s="6"/>
      <c r="C195" s="7"/>
      <c r="D195" s="12"/>
      <c r="E195" s="32"/>
      <c r="F195" s="12"/>
      <c r="G195" s="7"/>
    </row>
    <row r="196" customFormat="false" ht="18.75" hidden="false" customHeight="true" outlineLevel="0" collapsed="false">
      <c r="B196" s="14"/>
      <c r="C196" s="15"/>
      <c r="D196" s="18"/>
      <c r="E196" s="31"/>
      <c r="F196" s="18"/>
      <c r="G196" s="15"/>
    </row>
    <row r="197" customFormat="false" ht="18.75" hidden="false" customHeight="true" outlineLevel="0" collapsed="false">
      <c r="B197" s="6"/>
      <c r="C197" s="7"/>
      <c r="D197" s="12"/>
      <c r="E197" s="32"/>
      <c r="F197" s="12"/>
      <c r="G197" s="7"/>
    </row>
    <row r="198" customFormat="false" ht="18.75" hidden="false" customHeight="true" outlineLevel="0" collapsed="false">
      <c r="B198" s="14"/>
      <c r="C198" s="15"/>
      <c r="D198" s="18"/>
      <c r="E198" s="31"/>
      <c r="F198" s="18"/>
      <c r="G198" s="15"/>
    </row>
    <row r="199" customFormat="false" ht="18.75" hidden="false" customHeight="true" outlineLevel="0" collapsed="false">
      <c r="B199" s="6"/>
      <c r="C199" s="7"/>
      <c r="D199" s="12"/>
      <c r="E199" s="32"/>
      <c r="F199" s="12"/>
      <c r="G199" s="7"/>
    </row>
    <row r="200" customFormat="false" ht="18.75" hidden="false" customHeight="true" outlineLevel="0" collapsed="false">
      <c r="B200" s="14"/>
      <c r="C200" s="15"/>
      <c r="D200" s="18"/>
      <c r="E200" s="31"/>
      <c r="F200" s="18"/>
      <c r="G200" s="15"/>
    </row>
    <row r="201" customFormat="false" ht="18.75" hidden="false" customHeight="true" outlineLevel="0" collapsed="false">
      <c r="B201" s="6"/>
      <c r="C201" s="7"/>
      <c r="D201" s="12"/>
      <c r="E201" s="32"/>
      <c r="F201" s="12"/>
      <c r="G201" s="7"/>
    </row>
    <row r="202" customFormat="false" ht="18.75" hidden="false" customHeight="true" outlineLevel="0" collapsed="false">
      <c r="B202" s="14"/>
      <c r="C202" s="15"/>
      <c r="D202" s="18"/>
      <c r="E202" s="31"/>
      <c r="F202" s="18"/>
      <c r="G202" s="15"/>
    </row>
    <row r="203" customFormat="false" ht="18.75" hidden="false" customHeight="true" outlineLevel="0" collapsed="false">
      <c r="B203" s="6"/>
      <c r="C203" s="7"/>
      <c r="D203" s="12"/>
      <c r="E203" s="32"/>
      <c r="F203" s="12"/>
      <c r="G203" s="7"/>
    </row>
    <row r="204" customFormat="false" ht="18.75" hidden="false" customHeight="true" outlineLevel="0" collapsed="false">
      <c r="B204" s="14"/>
      <c r="C204" s="15"/>
      <c r="D204" s="18"/>
      <c r="E204" s="31"/>
      <c r="F204" s="18"/>
      <c r="G204" s="15"/>
    </row>
    <row r="205" customFormat="false" ht="18.75" hidden="false" customHeight="true" outlineLevel="0" collapsed="false">
      <c r="B205" s="6"/>
      <c r="C205" s="7"/>
      <c r="D205" s="12"/>
      <c r="E205" s="32"/>
      <c r="F205" s="12"/>
      <c r="G205" s="7"/>
    </row>
    <row r="206" customFormat="false" ht="18.75" hidden="false" customHeight="true" outlineLevel="0" collapsed="false">
      <c r="B206" s="14"/>
      <c r="C206" s="15"/>
      <c r="D206" s="18"/>
      <c r="E206" s="31"/>
      <c r="F206" s="18"/>
      <c r="G206" s="15"/>
    </row>
    <row r="207" customFormat="false" ht="18.75" hidden="false" customHeight="true" outlineLevel="0" collapsed="false">
      <c r="B207" s="6"/>
      <c r="C207" s="7"/>
      <c r="D207" s="12"/>
      <c r="E207" s="32"/>
      <c r="F207" s="12"/>
      <c r="G207" s="7"/>
    </row>
    <row r="208" customFormat="false" ht="18.75" hidden="false" customHeight="true" outlineLevel="0" collapsed="false">
      <c r="B208" s="14"/>
      <c r="C208" s="15"/>
      <c r="D208" s="18"/>
      <c r="E208" s="31"/>
      <c r="F208" s="18"/>
      <c r="G208" s="15"/>
    </row>
    <row r="209" customFormat="false" ht="18.75" hidden="false" customHeight="true" outlineLevel="0" collapsed="false">
      <c r="B209" s="6"/>
      <c r="C209" s="7"/>
      <c r="D209" s="12"/>
      <c r="E209" s="32"/>
      <c r="F209" s="12"/>
      <c r="G209" s="7"/>
    </row>
    <row r="210" customFormat="false" ht="18.75" hidden="false" customHeight="true" outlineLevel="0" collapsed="false">
      <c r="B210" s="14"/>
      <c r="C210" s="15"/>
      <c r="D210" s="18"/>
      <c r="E210" s="31"/>
      <c r="F210" s="18"/>
      <c r="G210" s="15"/>
    </row>
    <row r="211" customFormat="false" ht="18.75" hidden="false" customHeight="true" outlineLevel="0" collapsed="false">
      <c r="B211" s="6"/>
      <c r="C211" s="7"/>
      <c r="D211" s="12"/>
      <c r="E211" s="32"/>
      <c r="F211" s="12"/>
      <c r="G211" s="7"/>
    </row>
    <row r="212" customFormat="false" ht="18.75" hidden="false" customHeight="true" outlineLevel="0" collapsed="false">
      <c r="B212" s="14"/>
      <c r="C212" s="15"/>
      <c r="D212" s="18"/>
      <c r="E212" s="31"/>
      <c r="F212" s="18"/>
      <c r="G212" s="15"/>
    </row>
    <row r="213" customFormat="false" ht="18.75" hidden="false" customHeight="true" outlineLevel="0" collapsed="false">
      <c r="B213" s="6"/>
      <c r="C213" s="7"/>
      <c r="D213" s="12"/>
      <c r="E213" s="32"/>
      <c r="F213" s="12"/>
      <c r="G213" s="7"/>
    </row>
    <row r="214" customFormat="false" ht="18.75" hidden="false" customHeight="true" outlineLevel="0" collapsed="false">
      <c r="B214" s="14"/>
      <c r="C214" s="15"/>
      <c r="D214" s="18"/>
      <c r="E214" s="31"/>
      <c r="F214" s="18"/>
      <c r="G214" s="15"/>
    </row>
    <row r="215" customFormat="false" ht="18.75" hidden="false" customHeight="true" outlineLevel="0" collapsed="false">
      <c r="B215" s="6"/>
      <c r="C215" s="7"/>
      <c r="D215" s="12"/>
      <c r="E215" s="32"/>
      <c r="F215" s="12"/>
      <c r="G215" s="7"/>
    </row>
    <row r="216" customFormat="false" ht="18.75" hidden="false" customHeight="true" outlineLevel="0" collapsed="false">
      <c r="B216" s="14"/>
      <c r="C216" s="15"/>
      <c r="D216" s="18"/>
      <c r="E216" s="31"/>
      <c r="F216" s="18"/>
      <c r="G216" s="15"/>
    </row>
    <row r="217" customFormat="false" ht="18.75" hidden="false" customHeight="true" outlineLevel="0" collapsed="false">
      <c r="B217" s="6"/>
      <c r="C217" s="7"/>
      <c r="D217" s="12"/>
      <c r="E217" s="32"/>
      <c r="F217" s="12"/>
      <c r="G217" s="7"/>
    </row>
    <row r="218" customFormat="false" ht="18.75" hidden="false" customHeight="true" outlineLevel="0" collapsed="false">
      <c r="B218" s="14"/>
      <c r="C218" s="15"/>
      <c r="D218" s="18"/>
      <c r="E218" s="31"/>
      <c r="F218" s="18"/>
      <c r="G218" s="15"/>
    </row>
    <row r="219" customFormat="false" ht="18.75" hidden="false" customHeight="true" outlineLevel="0" collapsed="false">
      <c r="B219" s="6"/>
      <c r="C219" s="7"/>
      <c r="D219" s="12"/>
      <c r="E219" s="32"/>
      <c r="F219" s="12"/>
      <c r="G219" s="7"/>
    </row>
    <row r="220" customFormat="false" ht="18.75" hidden="false" customHeight="true" outlineLevel="0" collapsed="false">
      <c r="B220" s="14"/>
      <c r="C220" s="15"/>
      <c r="D220" s="18"/>
      <c r="E220" s="31"/>
      <c r="F220" s="18"/>
      <c r="G220" s="15"/>
    </row>
    <row r="221" customFormat="false" ht="18.75" hidden="false" customHeight="true" outlineLevel="0" collapsed="false">
      <c r="B221" s="6"/>
      <c r="C221" s="7"/>
      <c r="D221" s="12"/>
      <c r="E221" s="32"/>
      <c r="F221" s="12"/>
      <c r="G221" s="7"/>
    </row>
    <row r="222" customFormat="false" ht="18.75" hidden="false" customHeight="true" outlineLevel="0" collapsed="false">
      <c r="B222" s="14"/>
      <c r="C222" s="15"/>
      <c r="D222" s="18"/>
      <c r="E222" s="31"/>
      <c r="F222" s="18"/>
      <c r="G222" s="15"/>
    </row>
    <row r="223" customFormat="false" ht="18.75" hidden="false" customHeight="true" outlineLevel="0" collapsed="false">
      <c r="B223" s="6"/>
      <c r="C223" s="7"/>
      <c r="D223" s="12"/>
      <c r="E223" s="32"/>
      <c r="F223" s="12"/>
      <c r="G223" s="7"/>
    </row>
    <row r="224" customFormat="false" ht="18.75" hidden="false" customHeight="true" outlineLevel="0" collapsed="false">
      <c r="B224" s="14"/>
      <c r="C224" s="15"/>
      <c r="D224" s="18"/>
      <c r="E224" s="31"/>
      <c r="F224" s="18"/>
      <c r="G224" s="15"/>
    </row>
    <row r="225" customFormat="false" ht="18.75" hidden="false" customHeight="true" outlineLevel="0" collapsed="false">
      <c r="B225" s="6"/>
      <c r="C225" s="7"/>
      <c r="D225" s="12"/>
      <c r="E225" s="32"/>
      <c r="F225" s="12"/>
      <c r="G225" s="7"/>
    </row>
    <row r="226" customFormat="false" ht="18.75" hidden="false" customHeight="true" outlineLevel="0" collapsed="false">
      <c r="B226" s="14"/>
      <c r="C226" s="15"/>
      <c r="D226" s="18"/>
      <c r="E226" s="31"/>
      <c r="F226" s="18"/>
      <c r="G226" s="15"/>
    </row>
    <row r="227" customFormat="false" ht="18.75" hidden="false" customHeight="true" outlineLevel="0" collapsed="false">
      <c r="B227" s="6"/>
      <c r="C227" s="7"/>
      <c r="D227" s="12"/>
      <c r="E227" s="32"/>
      <c r="F227" s="12"/>
      <c r="G227" s="7"/>
    </row>
    <row r="228" customFormat="false" ht="18.75" hidden="false" customHeight="true" outlineLevel="0" collapsed="false">
      <c r="B228" s="14"/>
      <c r="C228" s="15"/>
      <c r="D228" s="18"/>
      <c r="E228" s="31"/>
      <c r="F228" s="18"/>
      <c r="G228" s="15"/>
    </row>
    <row r="229" customFormat="false" ht="18.75" hidden="false" customHeight="true" outlineLevel="0" collapsed="false">
      <c r="B229" s="6"/>
      <c r="C229" s="7"/>
      <c r="D229" s="12"/>
      <c r="E229" s="32"/>
      <c r="F229" s="12"/>
      <c r="G229" s="7"/>
    </row>
    <row r="230" customFormat="false" ht="18.75" hidden="false" customHeight="true" outlineLevel="0" collapsed="false">
      <c r="B230" s="14"/>
      <c r="C230" s="15"/>
      <c r="D230" s="18"/>
      <c r="E230" s="31"/>
      <c r="F230" s="18"/>
      <c r="G230" s="15"/>
    </row>
    <row r="231" customFormat="false" ht="18.75" hidden="false" customHeight="true" outlineLevel="0" collapsed="false">
      <c r="B231" s="6"/>
      <c r="C231" s="7"/>
      <c r="D231" s="12"/>
      <c r="E231" s="32"/>
      <c r="F231" s="12"/>
      <c r="G231" s="7"/>
    </row>
    <row r="232" customFormat="false" ht="18.75" hidden="false" customHeight="true" outlineLevel="0" collapsed="false">
      <c r="B232" s="14"/>
      <c r="C232" s="15"/>
      <c r="D232" s="18"/>
      <c r="E232" s="31"/>
      <c r="F232" s="18"/>
      <c r="G232" s="15"/>
    </row>
    <row r="233" customFormat="false" ht="18.75" hidden="false" customHeight="true" outlineLevel="0" collapsed="false">
      <c r="B233" s="6"/>
      <c r="C233" s="7"/>
      <c r="D233" s="12"/>
      <c r="E233" s="32"/>
      <c r="F233" s="12"/>
      <c r="G233" s="7"/>
    </row>
    <row r="234" customFormat="false" ht="18.75" hidden="false" customHeight="true" outlineLevel="0" collapsed="false">
      <c r="B234" s="14"/>
      <c r="C234" s="15"/>
      <c r="D234" s="18"/>
      <c r="E234" s="31"/>
      <c r="F234" s="18"/>
      <c r="G234" s="15"/>
    </row>
    <row r="235" customFormat="false" ht="18.75" hidden="false" customHeight="true" outlineLevel="0" collapsed="false">
      <c r="B235" s="6"/>
      <c r="C235" s="7"/>
      <c r="D235" s="12"/>
      <c r="E235" s="32"/>
      <c r="F235" s="12"/>
      <c r="G235" s="7"/>
    </row>
    <row r="236" customFormat="false" ht="18.75" hidden="false" customHeight="true" outlineLevel="0" collapsed="false">
      <c r="B236" s="14"/>
      <c r="C236" s="15"/>
      <c r="D236" s="18"/>
      <c r="E236" s="31"/>
      <c r="F236" s="18"/>
      <c r="G236" s="15"/>
    </row>
    <row r="237" customFormat="false" ht="18.75" hidden="false" customHeight="true" outlineLevel="0" collapsed="false">
      <c r="B237" s="6"/>
      <c r="C237" s="7"/>
      <c r="D237" s="12"/>
      <c r="E237" s="32"/>
      <c r="F237" s="12"/>
      <c r="G237" s="7"/>
    </row>
    <row r="238" customFormat="false" ht="18.75" hidden="false" customHeight="true" outlineLevel="0" collapsed="false">
      <c r="B238" s="14"/>
      <c r="C238" s="15"/>
      <c r="D238" s="18"/>
      <c r="E238" s="31"/>
      <c r="F238" s="18"/>
      <c r="G238" s="15"/>
    </row>
    <row r="239" customFormat="false" ht="18.75" hidden="false" customHeight="true" outlineLevel="0" collapsed="false">
      <c r="B239" s="6"/>
      <c r="C239" s="7"/>
      <c r="D239" s="12"/>
      <c r="E239" s="32"/>
      <c r="F239" s="12"/>
      <c r="G239" s="7"/>
    </row>
    <row r="240" customFormat="false" ht="18.75" hidden="false" customHeight="true" outlineLevel="0" collapsed="false">
      <c r="B240" s="14"/>
      <c r="C240" s="15"/>
      <c r="D240" s="18"/>
      <c r="E240" s="31"/>
      <c r="F240" s="18"/>
      <c r="G240" s="15"/>
    </row>
    <row r="241" customFormat="false" ht="18.75" hidden="false" customHeight="true" outlineLevel="0" collapsed="false">
      <c r="B241" s="6"/>
      <c r="C241" s="7"/>
      <c r="D241" s="12"/>
      <c r="E241" s="32"/>
      <c r="F241" s="12"/>
      <c r="G241" s="7"/>
    </row>
    <row r="242" customFormat="false" ht="18.75" hidden="false" customHeight="true" outlineLevel="0" collapsed="false">
      <c r="B242" s="14"/>
      <c r="C242" s="15"/>
      <c r="D242" s="18"/>
      <c r="E242" s="31"/>
      <c r="F242" s="18"/>
      <c r="G242" s="15"/>
    </row>
    <row r="243" customFormat="false" ht="18.75" hidden="false" customHeight="true" outlineLevel="0" collapsed="false">
      <c r="B243" s="6"/>
      <c r="C243" s="7"/>
      <c r="D243" s="12"/>
      <c r="E243" s="32"/>
      <c r="F243" s="12"/>
      <c r="G243" s="7"/>
    </row>
    <row r="244" customFormat="false" ht="18.75" hidden="false" customHeight="true" outlineLevel="0" collapsed="false">
      <c r="B244" s="14"/>
      <c r="C244" s="15"/>
      <c r="D244" s="18"/>
      <c r="E244" s="31"/>
      <c r="F244" s="18"/>
      <c r="G244" s="15"/>
    </row>
    <row r="245" customFormat="false" ht="18.75" hidden="false" customHeight="true" outlineLevel="0" collapsed="false">
      <c r="B245" s="6"/>
      <c r="C245" s="7"/>
      <c r="D245" s="12"/>
      <c r="E245" s="32"/>
      <c r="F245" s="12"/>
      <c r="G245" s="7"/>
    </row>
    <row r="246" customFormat="false" ht="18.75" hidden="false" customHeight="true" outlineLevel="0" collapsed="false">
      <c r="B246" s="14"/>
      <c r="C246" s="15"/>
      <c r="D246" s="18"/>
      <c r="E246" s="31"/>
      <c r="F246" s="18"/>
      <c r="G246" s="15"/>
    </row>
    <row r="247" customFormat="false" ht="18.75" hidden="false" customHeight="true" outlineLevel="0" collapsed="false">
      <c r="B247" s="6"/>
      <c r="C247" s="7"/>
      <c r="D247" s="12"/>
      <c r="E247" s="32"/>
      <c r="F247" s="12"/>
      <c r="G247" s="7"/>
    </row>
    <row r="248" customFormat="false" ht="18.75" hidden="false" customHeight="true" outlineLevel="0" collapsed="false">
      <c r="B248" s="14"/>
      <c r="C248" s="15"/>
      <c r="D248" s="18"/>
      <c r="E248" s="31"/>
      <c r="F248" s="18"/>
      <c r="G248" s="15"/>
    </row>
    <row r="249" customFormat="false" ht="18.75" hidden="false" customHeight="true" outlineLevel="0" collapsed="false">
      <c r="B249" s="6"/>
      <c r="C249" s="7"/>
      <c r="D249" s="12"/>
      <c r="E249" s="32"/>
      <c r="F249" s="12"/>
      <c r="G249" s="7"/>
    </row>
    <row r="250" customFormat="false" ht="18.75" hidden="false" customHeight="true" outlineLevel="0" collapsed="false">
      <c r="B250" s="14"/>
      <c r="C250" s="15"/>
      <c r="D250" s="18"/>
      <c r="E250" s="31"/>
      <c r="F250" s="18"/>
      <c r="G250" s="15"/>
    </row>
    <row r="251" customFormat="false" ht="18.75" hidden="false" customHeight="true" outlineLevel="0" collapsed="false">
      <c r="B251" s="6"/>
      <c r="C251" s="7"/>
      <c r="D251" s="12"/>
      <c r="E251" s="32"/>
      <c r="F251" s="12"/>
      <c r="G251" s="7"/>
    </row>
    <row r="252" customFormat="false" ht="18.75" hidden="false" customHeight="true" outlineLevel="0" collapsed="false">
      <c r="B252" s="14"/>
      <c r="C252" s="15"/>
      <c r="D252" s="18"/>
      <c r="E252" s="31"/>
      <c r="F252" s="18"/>
      <c r="G252" s="15"/>
    </row>
    <row r="253" customFormat="false" ht="18.75" hidden="false" customHeight="true" outlineLevel="0" collapsed="false">
      <c r="B253" s="6"/>
      <c r="C253" s="7"/>
      <c r="D253" s="12"/>
      <c r="E253" s="32"/>
      <c r="F253" s="12"/>
      <c r="G253" s="7"/>
    </row>
    <row r="254" customFormat="false" ht="18.75" hidden="false" customHeight="true" outlineLevel="0" collapsed="false">
      <c r="B254" s="14"/>
      <c r="C254" s="15"/>
      <c r="D254" s="18"/>
      <c r="E254" s="31"/>
      <c r="F254" s="18"/>
      <c r="G254" s="15"/>
    </row>
    <row r="255" customFormat="false" ht="18.75" hidden="false" customHeight="true" outlineLevel="0" collapsed="false">
      <c r="B255" s="6"/>
      <c r="C255" s="7"/>
      <c r="D255" s="12"/>
      <c r="E255" s="32"/>
      <c r="F255" s="12"/>
      <c r="G255" s="7"/>
    </row>
    <row r="256" customFormat="false" ht="18.75" hidden="false" customHeight="true" outlineLevel="0" collapsed="false">
      <c r="B256" s="14"/>
      <c r="C256" s="15"/>
      <c r="D256" s="18"/>
      <c r="E256" s="31"/>
      <c r="F256" s="18"/>
      <c r="G256" s="15"/>
    </row>
    <row r="257" customFormat="false" ht="18.75" hidden="false" customHeight="true" outlineLevel="0" collapsed="false">
      <c r="B257" s="6"/>
      <c r="C257" s="7"/>
      <c r="D257" s="12"/>
      <c r="E257" s="32"/>
      <c r="F257" s="12"/>
      <c r="G257" s="7"/>
    </row>
    <row r="258" customFormat="false" ht="18.75" hidden="false" customHeight="true" outlineLevel="0" collapsed="false">
      <c r="B258" s="14"/>
      <c r="C258" s="15"/>
      <c r="D258" s="18"/>
      <c r="E258" s="31"/>
      <c r="F258" s="18"/>
      <c r="G258" s="15"/>
    </row>
    <row r="259" customFormat="false" ht="18.75" hidden="false" customHeight="true" outlineLevel="0" collapsed="false">
      <c r="B259" s="6"/>
      <c r="C259" s="7"/>
      <c r="D259" s="12"/>
      <c r="E259" s="32"/>
      <c r="F259" s="12"/>
      <c r="G259" s="7"/>
    </row>
    <row r="260" customFormat="false" ht="18.75" hidden="false" customHeight="true" outlineLevel="0" collapsed="false">
      <c r="B260" s="14"/>
      <c r="C260" s="15"/>
      <c r="D260" s="18"/>
      <c r="E260" s="31"/>
      <c r="F260" s="18"/>
      <c r="G260" s="15"/>
    </row>
    <row r="261" customFormat="false" ht="18.75" hidden="false" customHeight="true" outlineLevel="0" collapsed="false">
      <c r="B261" s="6"/>
      <c r="C261" s="7"/>
      <c r="D261" s="12"/>
      <c r="E261" s="32"/>
      <c r="F261" s="12"/>
      <c r="G261" s="7"/>
    </row>
    <row r="262" customFormat="false" ht="18.75" hidden="false" customHeight="true" outlineLevel="0" collapsed="false">
      <c r="B262" s="14"/>
      <c r="C262" s="15"/>
      <c r="D262" s="18"/>
      <c r="E262" s="31"/>
      <c r="F262" s="18"/>
      <c r="G262" s="15"/>
    </row>
    <row r="263" customFormat="false" ht="18.75" hidden="false" customHeight="true" outlineLevel="0" collapsed="false">
      <c r="B263" s="6"/>
      <c r="C263" s="7"/>
      <c r="D263" s="12"/>
      <c r="E263" s="32"/>
      <c r="F263" s="12"/>
      <c r="G263" s="7"/>
    </row>
    <row r="264" customFormat="false" ht="18.75" hidden="false" customHeight="true" outlineLevel="0" collapsed="false">
      <c r="B264" s="14"/>
      <c r="C264" s="15"/>
      <c r="D264" s="18"/>
      <c r="E264" s="31"/>
      <c r="F264" s="18"/>
      <c r="G264" s="15"/>
    </row>
    <row r="265" customFormat="false" ht="18.75" hidden="false" customHeight="true" outlineLevel="0" collapsed="false">
      <c r="B265" s="6"/>
      <c r="C265" s="7"/>
      <c r="D265" s="12"/>
      <c r="E265" s="32"/>
      <c r="F265" s="12"/>
      <c r="G265" s="7"/>
    </row>
    <row r="266" customFormat="false" ht="18.75" hidden="false" customHeight="true" outlineLevel="0" collapsed="false">
      <c r="B266" s="14"/>
      <c r="C266" s="15"/>
      <c r="D266" s="18"/>
      <c r="E266" s="31"/>
      <c r="F266" s="18"/>
      <c r="G266" s="15"/>
    </row>
    <row r="267" customFormat="false" ht="18.75" hidden="false" customHeight="true" outlineLevel="0" collapsed="false">
      <c r="B267" s="6"/>
      <c r="C267" s="7"/>
      <c r="D267" s="12"/>
      <c r="E267" s="32"/>
      <c r="F267" s="12"/>
      <c r="G267" s="7"/>
    </row>
    <row r="268" customFormat="false" ht="18.75" hidden="false" customHeight="true" outlineLevel="0" collapsed="false">
      <c r="B268" s="14"/>
      <c r="C268" s="15"/>
      <c r="D268" s="18"/>
      <c r="E268" s="31"/>
      <c r="F268" s="18"/>
      <c r="G268" s="15"/>
    </row>
    <row r="269" customFormat="false" ht="18.75" hidden="false" customHeight="true" outlineLevel="0" collapsed="false">
      <c r="B269" s="6"/>
      <c r="C269" s="7"/>
      <c r="D269" s="12"/>
      <c r="E269" s="32"/>
      <c r="F269" s="12"/>
      <c r="G269" s="7"/>
    </row>
    <row r="270" customFormat="false" ht="18.75" hidden="false" customHeight="true" outlineLevel="0" collapsed="false">
      <c r="B270" s="14"/>
      <c r="C270" s="15"/>
      <c r="D270" s="18"/>
      <c r="E270" s="31"/>
      <c r="F270" s="18"/>
      <c r="G270" s="15"/>
    </row>
    <row r="271" customFormat="false" ht="18.75" hidden="false" customHeight="true" outlineLevel="0" collapsed="false">
      <c r="B271" s="6"/>
      <c r="C271" s="7"/>
      <c r="D271" s="12"/>
      <c r="E271" s="32"/>
      <c r="F271" s="12"/>
      <c r="G271" s="7"/>
    </row>
    <row r="272" customFormat="false" ht="18.75" hidden="false" customHeight="true" outlineLevel="0" collapsed="false">
      <c r="B272" s="14"/>
      <c r="C272" s="15"/>
      <c r="D272" s="18"/>
      <c r="E272" s="31"/>
      <c r="F272" s="18"/>
      <c r="G272" s="15"/>
    </row>
    <row r="273" customFormat="false" ht="18.75" hidden="false" customHeight="true" outlineLevel="0" collapsed="false">
      <c r="B273" s="6"/>
      <c r="C273" s="7"/>
      <c r="D273" s="12"/>
      <c r="E273" s="32"/>
      <c r="F273" s="12"/>
      <c r="G273" s="7"/>
    </row>
    <row r="274" customFormat="false" ht="18.75" hidden="false" customHeight="true" outlineLevel="0" collapsed="false">
      <c r="B274" s="14"/>
      <c r="C274" s="15"/>
      <c r="D274" s="18"/>
      <c r="E274" s="31"/>
      <c r="F274" s="18"/>
      <c r="G274" s="15"/>
    </row>
    <row r="275" customFormat="false" ht="18.75" hidden="false" customHeight="true" outlineLevel="0" collapsed="false">
      <c r="B275" s="6"/>
      <c r="C275" s="7"/>
      <c r="D275" s="12"/>
      <c r="E275" s="32"/>
      <c r="F275" s="12"/>
      <c r="G275" s="7"/>
    </row>
    <row r="276" customFormat="false" ht="18.75" hidden="false" customHeight="true" outlineLevel="0" collapsed="false">
      <c r="B276" s="14"/>
      <c r="C276" s="15"/>
      <c r="D276" s="18"/>
      <c r="E276" s="31"/>
      <c r="F276" s="18"/>
      <c r="G276" s="15"/>
    </row>
    <row r="277" customFormat="false" ht="18.75" hidden="false" customHeight="true" outlineLevel="0" collapsed="false">
      <c r="B277" s="6"/>
      <c r="C277" s="7"/>
      <c r="D277" s="12"/>
      <c r="E277" s="32"/>
      <c r="F277" s="12"/>
      <c r="G277" s="7"/>
    </row>
    <row r="278" customFormat="false" ht="18.75" hidden="false" customHeight="true" outlineLevel="0" collapsed="false">
      <c r="B278" s="14"/>
      <c r="C278" s="15"/>
      <c r="D278" s="18"/>
      <c r="E278" s="31"/>
      <c r="F278" s="18"/>
      <c r="G278" s="15"/>
    </row>
    <row r="279" customFormat="false" ht="18.75" hidden="false" customHeight="true" outlineLevel="0" collapsed="false">
      <c r="B279" s="6"/>
      <c r="C279" s="7"/>
      <c r="D279" s="12"/>
      <c r="E279" s="32"/>
      <c r="F279" s="12"/>
      <c r="G279" s="7"/>
    </row>
    <row r="280" customFormat="false" ht="18.75" hidden="false" customHeight="true" outlineLevel="0" collapsed="false">
      <c r="B280" s="14"/>
      <c r="C280" s="15"/>
      <c r="D280" s="18"/>
      <c r="E280" s="31"/>
      <c r="F280" s="18"/>
      <c r="G280" s="15"/>
    </row>
    <row r="281" customFormat="false" ht="18.75" hidden="false" customHeight="true" outlineLevel="0" collapsed="false">
      <c r="B281" s="6"/>
      <c r="C281" s="7"/>
      <c r="D281" s="12"/>
      <c r="E281" s="32"/>
      <c r="F281" s="12"/>
      <c r="G281" s="7"/>
    </row>
    <row r="282" customFormat="false" ht="18.75" hidden="false" customHeight="true" outlineLevel="0" collapsed="false">
      <c r="B282" s="14"/>
      <c r="C282" s="15"/>
      <c r="D282" s="18"/>
      <c r="E282" s="31"/>
      <c r="F282" s="18"/>
      <c r="G282" s="15"/>
    </row>
    <row r="283" customFormat="false" ht="18.75" hidden="false" customHeight="true" outlineLevel="0" collapsed="false">
      <c r="B283" s="6"/>
      <c r="C283" s="7"/>
      <c r="D283" s="12"/>
      <c r="E283" s="32"/>
      <c r="F283" s="12"/>
      <c r="G283" s="7"/>
    </row>
    <row r="284" customFormat="false" ht="18.75" hidden="false" customHeight="true" outlineLevel="0" collapsed="false">
      <c r="B284" s="14"/>
      <c r="C284" s="15"/>
      <c r="D284" s="18"/>
      <c r="E284" s="31"/>
      <c r="F284" s="18"/>
      <c r="G284" s="15"/>
    </row>
    <row r="285" customFormat="false" ht="18.75" hidden="false" customHeight="true" outlineLevel="0" collapsed="false">
      <c r="B285" s="6"/>
      <c r="C285" s="7"/>
      <c r="D285" s="12"/>
      <c r="E285" s="32"/>
      <c r="F285" s="12"/>
      <c r="G285" s="7"/>
    </row>
    <row r="286" customFormat="false" ht="18.75" hidden="false" customHeight="true" outlineLevel="0" collapsed="false">
      <c r="B286" s="14"/>
      <c r="C286" s="15"/>
      <c r="D286" s="18"/>
      <c r="E286" s="31"/>
      <c r="F286" s="18"/>
      <c r="G286" s="15"/>
    </row>
    <row r="287" customFormat="false" ht="18.75" hidden="false" customHeight="true" outlineLevel="0" collapsed="false">
      <c r="B287" s="6"/>
      <c r="C287" s="7"/>
      <c r="D287" s="12"/>
      <c r="E287" s="32"/>
      <c r="F287" s="12"/>
      <c r="G287" s="7"/>
    </row>
    <row r="288" customFormat="false" ht="18.75" hidden="false" customHeight="true" outlineLevel="0" collapsed="false">
      <c r="B288" s="14"/>
      <c r="C288" s="15"/>
      <c r="D288" s="18"/>
      <c r="E288" s="31"/>
      <c r="F288" s="18"/>
      <c r="G288" s="15"/>
    </row>
    <row r="289" customFormat="false" ht="18.75" hidden="false" customHeight="true" outlineLevel="0" collapsed="false">
      <c r="B289" s="6"/>
      <c r="C289" s="7"/>
      <c r="D289" s="12"/>
      <c r="E289" s="32"/>
      <c r="F289" s="12"/>
      <c r="G289" s="7"/>
    </row>
    <row r="290" customFormat="false" ht="18.75" hidden="false" customHeight="true" outlineLevel="0" collapsed="false">
      <c r="B290" s="14"/>
      <c r="C290" s="15"/>
      <c r="D290" s="18"/>
      <c r="E290" s="31"/>
      <c r="F290" s="18"/>
      <c r="G290" s="15"/>
    </row>
    <row r="291" customFormat="false" ht="18.75" hidden="false" customHeight="true" outlineLevel="0" collapsed="false">
      <c r="B291" s="6"/>
      <c r="C291" s="7"/>
      <c r="D291" s="12"/>
      <c r="E291" s="32"/>
      <c r="F291" s="12"/>
      <c r="G291" s="7"/>
    </row>
    <row r="292" customFormat="false" ht="18.75" hidden="false" customHeight="true" outlineLevel="0" collapsed="false">
      <c r="B292" s="14"/>
      <c r="C292" s="15"/>
      <c r="D292" s="18"/>
      <c r="E292" s="31"/>
      <c r="F292" s="18"/>
      <c r="G292" s="15"/>
    </row>
    <row r="293" customFormat="false" ht="18.75" hidden="false" customHeight="true" outlineLevel="0" collapsed="false">
      <c r="B293" s="6"/>
      <c r="C293" s="7"/>
      <c r="D293" s="12"/>
      <c r="E293" s="32"/>
      <c r="F293" s="12"/>
      <c r="G293" s="7"/>
    </row>
    <row r="294" customFormat="false" ht="18.75" hidden="false" customHeight="true" outlineLevel="0" collapsed="false">
      <c r="B294" s="14"/>
      <c r="C294" s="15"/>
      <c r="D294" s="18"/>
      <c r="E294" s="31"/>
      <c r="F294" s="18"/>
      <c r="G294" s="15"/>
    </row>
    <row r="295" customFormat="false" ht="18.75" hidden="false" customHeight="true" outlineLevel="0" collapsed="false">
      <c r="B295" s="6"/>
      <c r="C295" s="7"/>
      <c r="D295" s="12"/>
      <c r="E295" s="32"/>
      <c r="F295" s="12"/>
      <c r="G295" s="7"/>
    </row>
    <row r="296" customFormat="false" ht="18.75" hidden="false" customHeight="true" outlineLevel="0" collapsed="false">
      <c r="B296" s="14"/>
      <c r="C296" s="15"/>
      <c r="D296" s="18"/>
      <c r="E296" s="31"/>
      <c r="F296" s="18"/>
      <c r="G296" s="15"/>
    </row>
    <row r="297" customFormat="false" ht="18.75" hidden="false" customHeight="true" outlineLevel="0" collapsed="false">
      <c r="B297" s="6"/>
      <c r="C297" s="7"/>
      <c r="D297" s="12"/>
      <c r="E297" s="32"/>
      <c r="F297" s="12"/>
      <c r="G297" s="7"/>
    </row>
    <row r="298" customFormat="false" ht="18.75" hidden="false" customHeight="true" outlineLevel="0" collapsed="false">
      <c r="B298" s="14"/>
      <c r="C298" s="15"/>
      <c r="D298" s="18"/>
      <c r="E298" s="31"/>
      <c r="F298" s="18"/>
      <c r="G298" s="15"/>
    </row>
    <row r="299" customFormat="false" ht="18.75" hidden="false" customHeight="true" outlineLevel="0" collapsed="false">
      <c r="B299" s="6"/>
      <c r="C299" s="7"/>
      <c r="D299" s="12"/>
      <c r="E299" s="32"/>
      <c r="F299" s="12"/>
      <c r="G299" s="7"/>
    </row>
    <row r="300" customFormat="false" ht="18.75" hidden="false" customHeight="true" outlineLevel="0" collapsed="false">
      <c r="B300" s="14"/>
      <c r="C300" s="15"/>
      <c r="D300" s="18"/>
      <c r="E300" s="31"/>
      <c r="F300" s="18"/>
      <c r="G300" s="15"/>
    </row>
    <row r="301" customFormat="false" ht="18.75" hidden="false" customHeight="true" outlineLevel="0" collapsed="false">
      <c r="B301" s="6"/>
      <c r="C301" s="7"/>
      <c r="D301" s="12"/>
      <c r="E301" s="32"/>
      <c r="F301" s="12"/>
      <c r="G301" s="7"/>
    </row>
    <row r="302" customFormat="false" ht="18.75" hidden="false" customHeight="true" outlineLevel="0" collapsed="false">
      <c r="B302" s="14"/>
      <c r="C302" s="15"/>
      <c r="D302" s="18"/>
      <c r="E302" s="31"/>
      <c r="F302" s="18"/>
      <c r="G302" s="15"/>
    </row>
    <row r="303" customFormat="false" ht="18.75" hidden="false" customHeight="true" outlineLevel="0" collapsed="false">
      <c r="B303" s="6"/>
      <c r="C303" s="7"/>
      <c r="D303" s="12"/>
      <c r="E303" s="32"/>
      <c r="F303" s="12"/>
      <c r="G303" s="7"/>
    </row>
    <row r="304" customFormat="false" ht="18.75" hidden="false" customHeight="true" outlineLevel="0" collapsed="false">
      <c r="B304" s="14"/>
      <c r="C304" s="15"/>
      <c r="D304" s="18"/>
      <c r="E304" s="31"/>
      <c r="F304" s="18"/>
      <c r="G304" s="15"/>
    </row>
    <row r="305" customFormat="false" ht="18.75" hidden="false" customHeight="true" outlineLevel="0" collapsed="false">
      <c r="B305" s="6"/>
      <c r="C305" s="7"/>
      <c r="D305" s="12"/>
      <c r="E305" s="32"/>
      <c r="F305" s="12"/>
      <c r="G305" s="7"/>
    </row>
    <row r="306" customFormat="false" ht="18.75" hidden="false" customHeight="true" outlineLevel="0" collapsed="false">
      <c r="B306" s="14"/>
      <c r="C306" s="15"/>
      <c r="D306" s="18"/>
      <c r="E306" s="31"/>
      <c r="F306" s="18"/>
      <c r="G306" s="15"/>
    </row>
    <row r="307" customFormat="false" ht="18.75" hidden="false" customHeight="true" outlineLevel="0" collapsed="false">
      <c r="B307" s="6"/>
      <c r="C307" s="7"/>
      <c r="D307" s="12"/>
      <c r="E307" s="32"/>
      <c r="F307" s="12"/>
      <c r="G307" s="7"/>
    </row>
    <row r="308" customFormat="false" ht="18.75" hidden="false" customHeight="true" outlineLevel="0" collapsed="false">
      <c r="B308" s="14"/>
      <c r="C308" s="15"/>
      <c r="D308" s="18"/>
      <c r="E308" s="31"/>
      <c r="F308" s="18"/>
      <c r="G308" s="15"/>
    </row>
    <row r="309" customFormat="false" ht="18.75" hidden="false" customHeight="true" outlineLevel="0" collapsed="false">
      <c r="B309" s="6"/>
      <c r="C309" s="7"/>
      <c r="D309" s="12"/>
      <c r="E309" s="32"/>
      <c r="F309" s="12"/>
      <c r="G309" s="7"/>
    </row>
    <row r="310" customFormat="false" ht="18.75" hidden="false" customHeight="true" outlineLevel="0" collapsed="false">
      <c r="B310" s="14"/>
      <c r="C310" s="15"/>
      <c r="D310" s="18"/>
      <c r="E310" s="31"/>
      <c r="F310" s="18"/>
      <c r="G310" s="15"/>
    </row>
    <row r="311" customFormat="false" ht="18.75" hidden="false" customHeight="true" outlineLevel="0" collapsed="false">
      <c r="B311" s="6"/>
      <c r="C311" s="7"/>
      <c r="D311" s="12"/>
      <c r="E311" s="32"/>
      <c r="F311" s="12"/>
      <c r="G311" s="7"/>
    </row>
    <row r="312" customFormat="false" ht="18.75" hidden="false" customHeight="true" outlineLevel="0" collapsed="false">
      <c r="B312" s="14"/>
      <c r="C312" s="15"/>
      <c r="D312" s="18"/>
      <c r="E312" s="31"/>
      <c r="F312" s="18"/>
      <c r="G312" s="15"/>
    </row>
    <row r="313" customFormat="false" ht="18.75" hidden="false" customHeight="true" outlineLevel="0" collapsed="false">
      <c r="B313" s="6"/>
      <c r="C313" s="7"/>
      <c r="D313" s="12"/>
      <c r="E313" s="32"/>
      <c r="F313" s="12"/>
      <c r="G313" s="7"/>
    </row>
    <row r="314" customFormat="false" ht="18.75" hidden="false" customHeight="true" outlineLevel="0" collapsed="false">
      <c r="B314" s="14"/>
      <c r="C314" s="15"/>
      <c r="D314" s="18"/>
      <c r="E314" s="31"/>
      <c r="F314" s="18"/>
      <c r="G314" s="15"/>
    </row>
    <row r="315" customFormat="false" ht="18.75" hidden="false" customHeight="true" outlineLevel="0" collapsed="false">
      <c r="B315" s="6"/>
      <c r="C315" s="7"/>
      <c r="D315" s="12"/>
      <c r="E315" s="32"/>
      <c r="F315" s="12"/>
      <c r="G315" s="7"/>
    </row>
    <row r="316" customFormat="false" ht="18.75" hidden="false" customHeight="true" outlineLevel="0" collapsed="false">
      <c r="B316" s="14"/>
      <c r="C316" s="15"/>
      <c r="D316" s="18"/>
      <c r="E316" s="31"/>
      <c r="F316" s="18"/>
      <c r="G316" s="15"/>
    </row>
    <row r="317" customFormat="false" ht="18.75" hidden="false" customHeight="true" outlineLevel="0" collapsed="false">
      <c r="B317" s="6"/>
      <c r="C317" s="7"/>
      <c r="D317" s="12"/>
      <c r="E317" s="32"/>
      <c r="F317" s="12"/>
      <c r="G317" s="7"/>
    </row>
    <row r="318" customFormat="false" ht="18.75" hidden="false" customHeight="true" outlineLevel="0" collapsed="false">
      <c r="B318" s="14"/>
      <c r="C318" s="15"/>
      <c r="D318" s="18"/>
      <c r="E318" s="31"/>
      <c r="F318" s="18"/>
      <c r="G318" s="15"/>
    </row>
    <row r="319" customFormat="false" ht="18.75" hidden="false" customHeight="true" outlineLevel="0" collapsed="false">
      <c r="B319" s="6"/>
      <c r="C319" s="7"/>
      <c r="D319" s="12"/>
      <c r="E319" s="32"/>
      <c r="F319" s="12"/>
      <c r="G319" s="7"/>
    </row>
    <row r="320" customFormat="false" ht="18.75" hidden="false" customHeight="true" outlineLevel="0" collapsed="false">
      <c r="B320" s="14"/>
      <c r="C320" s="15"/>
      <c r="D320" s="18"/>
      <c r="E320" s="31"/>
      <c r="F320" s="18"/>
      <c r="G320" s="15"/>
    </row>
    <row r="321" customFormat="false" ht="18.75" hidden="false" customHeight="true" outlineLevel="0" collapsed="false">
      <c r="B321" s="6"/>
      <c r="C321" s="7"/>
      <c r="D321" s="12"/>
      <c r="E321" s="32"/>
      <c r="F321" s="12"/>
      <c r="G321" s="7"/>
    </row>
    <row r="322" customFormat="false" ht="18.75" hidden="false" customHeight="true" outlineLevel="0" collapsed="false">
      <c r="B322" s="14"/>
      <c r="C322" s="15"/>
      <c r="D322" s="18"/>
      <c r="E322" s="31"/>
      <c r="F322" s="18"/>
      <c r="G322" s="15"/>
    </row>
    <row r="323" customFormat="false" ht="18.75" hidden="false" customHeight="true" outlineLevel="0" collapsed="false">
      <c r="B323" s="6"/>
      <c r="C323" s="7"/>
      <c r="D323" s="12"/>
      <c r="E323" s="32"/>
      <c r="F323" s="12"/>
      <c r="G323" s="7"/>
    </row>
    <row r="324" customFormat="false" ht="18.75" hidden="false" customHeight="true" outlineLevel="0" collapsed="false">
      <c r="B324" s="14"/>
      <c r="C324" s="15"/>
      <c r="D324" s="18"/>
      <c r="E324" s="31"/>
      <c r="F324" s="18"/>
      <c r="G324" s="15"/>
    </row>
    <row r="325" customFormat="false" ht="18.75" hidden="false" customHeight="true" outlineLevel="0" collapsed="false">
      <c r="B325" s="6"/>
      <c r="C325" s="7"/>
      <c r="D325" s="12"/>
      <c r="E325" s="32"/>
      <c r="F325" s="12"/>
      <c r="G325" s="7"/>
    </row>
    <row r="326" customFormat="false" ht="18.75" hidden="false" customHeight="true" outlineLevel="0" collapsed="false">
      <c r="B326" s="14"/>
      <c r="C326" s="15"/>
      <c r="D326" s="18"/>
      <c r="E326" s="31"/>
      <c r="F326" s="18"/>
      <c r="G326" s="15"/>
    </row>
    <row r="327" customFormat="false" ht="18.75" hidden="false" customHeight="true" outlineLevel="0" collapsed="false">
      <c r="B327" s="6"/>
      <c r="C327" s="7"/>
      <c r="D327" s="12"/>
      <c r="E327" s="32"/>
      <c r="F327" s="12"/>
      <c r="G327" s="7"/>
    </row>
    <row r="328" customFormat="false" ht="18.75" hidden="false" customHeight="true" outlineLevel="0" collapsed="false">
      <c r="B328" s="14"/>
      <c r="C328" s="15"/>
      <c r="D328" s="18"/>
      <c r="E328" s="31"/>
      <c r="F328" s="18"/>
      <c r="G328" s="15"/>
    </row>
    <row r="329" customFormat="false" ht="18.75" hidden="false" customHeight="true" outlineLevel="0" collapsed="false">
      <c r="B329" s="6"/>
      <c r="C329" s="7"/>
      <c r="D329" s="12"/>
      <c r="E329" s="32"/>
      <c r="F329" s="12"/>
      <c r="G329" s="7"/>
    </row>
    <row r="330" customFormat="false" ht="18.75" hidden="false" customHeight="true" outlineLevel="0" collapsed="false">
      <c r="B330" s="14"/>
      <c r="C330" s="15"/>
      <c r="D330" s="18"/>
      <c r="E330" s="31"/>
      <c r="F330" s="18"/>
      <c r="G330" s="15"/>
    </row>
    <row r="331" customFormat="false" ht="18.75" hidden="false" customHeight="true" outlineLevel="0" collapsed="false">
      <c r="B331" s="6"/>
      <c r="C331" s="7"/>
      <c r="D331" s="12"/>
      <c r="E331" s="32"/>
      <c r="F331" s="12"/>
      <c r="G331" s="7"/>
    </row>
    <row r="332" customFormat="false" ht="18.75" hidden="false" customHeight="true" outlineLevel="0" collapsed="false">
      <c r="B332" s="14"/>
      <c r="C332" s="15"/>
      <c r="D332" s="18"/>
      <c r="E332" s="31"/>
      <c r="F332" s="18"/>
      <c r="G332" s="15"/>
    </row>
    <row r="333" customFormat="false" ht="18.75" hidden="false" customHeight="true" outlineLevel="0" collapsed="false">
      <c r="B333" s="6"/>
      <c r="C333" s="7"/>
      <c r="D333" s="12"/>
      <c r="E333" s="32"/>
      <c r="F333" s="12"/>
      <c r="G333" s="7"/>
    </row>
    <row r="334" customFormat="false" ht="18.75" hidden="false" customHeight="true" outlineLevel="0" collapsed="false">
      <c r="B334" s="14"/>
      <c r="C334" s="15"/>
      <c r="D334" s="18"/>
      <c r="E334" s="31"/>
      <c r="F334" s="18"/>
      <c r="G334" s="15"/>
    </row>
    <row r="335" customFormat="false" ht="18.75" hidden="false" customHeight="true" outlineLevel="0" collapsed="false">
      <c r="B335" s="6"/>
      <c r="C335" s="7"/>
      <c r="D335" s="12"/>
      <c r="E335" s="32"/>
      <c r="F335" s="12"/>
      <c r="G335" s="7"/>
    </row>
    <row r="336" customFormat="false" ht="18.75" hidden="false" customHeight="true" outlineLevel="0" collapsed="false">
      <c r="B336" s="14"/>
      <c r="C336" s="15"/>
      <c r="D336" s="18"/>
      <c r="E336" s="31"/>
      <c r="F336" s="18"/>
      <c r="G336" s="15"/>
    </row>
    <row r="337" customFormat="false" ht="18.75" hidden="false" customHeight="true" outlineLevel="0" collapsed="false">
      <c r="B337" s="6"/>
      <c r="C337" s="7"/>
      <c r="D337" s="12"/>
      <c r="E337" s="32"/>
      <c r="F337" s="12"/>
      <c r="G337" s="7"/>
    </row>
    <row r="338" customFormat="false" ht="18.75" hidden="false" customHeight="true" outlineLevel="0" collapsed="false">
      <c r="B338" s="14"/>
      <c r="C338" s="15"/>
      <c r="D338" s="18"/>
      <c r="E338" s="31"/>
      <c r="F338" s="18"/>
      <c r="G338" s="15"/>
    </row>
    <row r="339" customFormat="false" ht="18.75" hidden="false" customHeight="true" outlineLevel="0" collapsed="false">
      <c r="B339" s="6"/>
      <c r="C339" s="7"/>
      <c r="D339" s="12"/>
      <c r="E339" s="32"/>
      <c r="F339" s="12"/>
      <c r="G339" s="7"/>
    </row>
    <row r="340" customFormat="false" ht="18.75" hidden="false" customHeight="true" outlineLevel="0" collapsed="false">
      <c r="B340" s="14"/>
      <c r="C340" s="15"/>
      <c r="D340" s="18"/>
      <c r="E340" s="31"/>
      <c r="F340" s="18"/>
      <c r="G340" s="15"/>
    </row>
    <row r="341" customFormat="false" ht="18.75" hidden="false" customHeight="true" outlineLevel="0" collapsed="false">
      <c r="B341" s="6"/>
      <c r="C341" s="7"/>
      <c r="D341" s="12"/>
      <c r="E341" s="32"/>
      <c r="F341" s="12"/>
      <c r="G341" s="7"/>
    </row>
    <row r="342" customFormat="false" ht="18.75" hidden="false" customHeight="true" outlineLevel="0" collapsed="false">
      <c r="B342" s="14"/>
      <c r="C342" s="15"/>
      <c r="D342" s="18"/>
      <c r="E342" s="31"/>
      <c r="F342" s="18"/>
      <c r="G342" s="15"/>
    </row>
    <row r="343" customFormat="false" ht="18.75" hidden="false" customHeight="true" outlineLevel="0" collapsed="false">
      <c r="B343" s="6"/>
      <c r="C343" s="7"/>
      <c r="D343" s="12"/>
      <c r="E343" s="32"/>
      <c r="F343" s="12"/>
      <c r="G343" s="7"/>
    </row>
    <row r="344" customFormat="false" ht="18.75" hidden="false" customHeight="true" outlineLevel="0" collapsed="false">
      <c r="B344" s="14"/>
      <c r="C344" s="15"/>
      <c r="D344" s="18"/>
      <c r="E344" s="31"/>
      <c r="F344" s="18"/>
      <c r="G344" s="15"/>
    </row>
    <row r="345" customFormat="false" ht="18.75" hidden="false" customHeight="true" outlineLevel="0" collapsed="false">
      <c r="B345" s="6"/>
      <c r="C345" s="7"/>
      <c r="D345" s="12"/>
      <c r="E345" s="32"/>
      <c r="F345" s="12"/>
      <c r="G345" s="7"/>
    </row>
    <row r="346" customFormat="false" ht="18.75" hidden="false" customHeight="true" outlineLevel="0" collapsed="false">
      <c r="B346" s="14"/>
      <c r="C346" s="15"/>
      <c r="D346" s="18"/>
      <c r="E346" s="31"/>
      <c r="F346" s="18"/>
      <c r="G346" s="15"/>
    </row>
    <row r="347" customFormat="false" ht="18.75" hidden="false" customHeight="true" outlineLevel="0" collapsed="false">
      <c r="B347" s="6"/>
      <c r="C347" s="7"/>
      <c r="D347" s="12"/>
      <c r="E347" s="32"/>
      <c r="F347" s="12"/>
      <c r="G347" s="7"/>
    </row>
    <row r="348" customFormat="false" ht="18.75" hidden="false" customHeight="true" outlineLevel="0" collapsed="false">
      <c r="B348" s="14"/>
      <c r="C348" s="15"/>
      <c r="D348" s="18"/>
      <c r="E348" s="31"/>
      <c r="F348" s="18"/>
      <c r="G348" s="15"/>
    </row>
    <row r="349" customFormat="false" ht="18.75" hidden="false" customHeight="true" outlineLevel="0" collapsed="false">
      <c r="B349" s="6"/>
      <c r="C349" s="7"/>
      <c r="D349" s="12"/>
      <c r="E349" s="32"/>
      <c r="F349" s="12"/>
      <c r="G349" s="7"/>
    </row>
    <row r="350" customFormat="false" ht="18.75" hidden="false" customHeight="true" outlineLevel="0" collapsed="false">
      <c r="B350" s="14"/>
      <c r="C350" s="15"/>
      <c r="D350" s="18"/>
      <c r="E350" s="31"/>
      <c r="F350" s="18"/>
      <c r="G350" s="15"/>
    </row>
    <row r="351" customFormat="false" ht="18.75" hidden="false" customHeight="true" outlineLevel="0" collapsed="false">
      <c r="B351" s="6"/>
      <c r="C351" s="7"/>
      <c r="D351" s="12"/>
      <c r="E351" s="32"/>
      <c r="F351" s="12"/>
      <c r="G351" s="7"/>
    </row>
    <row r="352" customFormat="false" ht="18.75" hidden="false" customHeight="true" outlineLevel="0" collapsed="false">
      <c r="B352" s="14"/>
      <c r="C352" s="15"/>
      <c r="D352" s="18"/>
      <c r="E352" s="31"/>
      <c r="F352" s="18"/>
      <c r="G352" s="15"/>
    </row>
    <row r="353" customFormat="false" ht="18.75" hidden="false" customHeight="true" outlineLevel="0" collapsed="false">
      <c r="B353" s="6"/>
      <c r="C353" s="7"/>
      <c r="D353" s="12"/>
      <c r="E353" s="32"/>
      <c r="F353" s="12"/>
      <c r="G353" s="7"/>
    </row>
    <row r="354" customFormat="false" ht="18.75" hidden="false" customHeight="true" outlineLevel="0" collapsed="false">
      <c r="B354" s="14"/>
      <c r="C354" s="15"/>
      <c r="D354" s="18"/>
      <c r="E354" s="31"/>
      <c r="F354" s="18"/>
      <c r="G354" s="15"/>
    </row>
    <row r="355" customFormat="false" ht="18.75" hidden="false" customHeight="true" outlineLevel="0" collapsed="false">
      <c r="B355" s="6"/>
      <c r="C355" s="7"/>
      <c r="D355" s="12"/>
      <c r="E355" s="32"/>
      <c r="F355" s="12"/>
      <c r="G355" s="7"/>
    </row>
    <row r="356" customFormat="false" ht="18.75" hidden="false" customHeight="true" outlineLevel="0" collapsed="false">
      <c r="B356" s="14"/>
      <c r="C356" s="15"/>
      <c r="D356" s="18"/>
      <c r="E356" s="31"/>
      <c r="F356" s="18"/>
      <c r="G356" s="15"/>
    </row>
    <row r="357" customFormat="false" ht="18.75" hidden="false" customHeight="true" outlineLevel="0" collapsed="false">
      <c r="B357" s="6"/>
      <c r="C357" s="7"/>
      <c r="D357" s="12"/>
      <c r="E357" s="32"/>
      <c r="F357" s="12"/>
      <c r="G357" s="7"/>
    </row>
    <row r="358" customFormat="false" ht="18.75" hidden="false" customHeight="true" outlineLevel="0" collapsed="false">
      <c r="B358" s="14"/>
      <c r="C358" s="15"/>
      <c r="D358" s="18"/>
      <c r="E358" s="31"/>
      <c r="F358" s="18"/>
      <c r="G358" s="15"/>
    </row>
    <row r="359" customFormat="false" ht="18.75" hidden="false" customHeight="true" outlineLevel="0" collapsed="false">
      <c r="B359" s="6"/>
      <c r="C359" s="7"/>
      <c r="D359" s="12"/>
      <c r="E359" s="32"/>
      <c r="F359" s="12"/>
      <c r="G359" s="7"/>
    </row>
    <row r="360" customFormat="false" ht="18.75" hidden="false" customHeight="true" outlineLevel="0" collapsed="false">
      <c r="B360" s="14"/>
      <c r="C360" s="15"/>
      <c r="D360" s="18"/>
      <c r="E360" s="31"/>
      <c r="F360" s="18"/>
      <c r="G360" s="15"/>
    </row>
    <row r="361" customFormat="false" ht="18.75" hidden="false" customHeight="true" outlineLevel="0" collapsed="false">
      <c r="B361" s="6"/>
      <c r="C361" s="7"/>
      <c r="D361" s="12"/>
      <c r="E361" s="32"/>
      <c r="F361" s="12"/>
      <c r="G361" s="7"/>
    </row>
    <row r="362" customFormat="false" ht="18.75" hidden="false" customHeight="true" outlineLevel="0" collapsed="false">
      <c r="B362" s="14"/>
      <c r="C362" s="15"/>
      <c r="D362" s="18"/>
      <c r="E362" s="31"/>
      <c r="F362" s="18"/>
      <c r="G362" s="15"/>
    </row>
    <row r="363" customFormat="false" ht="18.75" hidden="false" customHeight="true" outlineLevel="0" collapsed="false">
      <c r="B363" s="6"/>
      <c r="C363" s="7"/>
      <c r="D363" s="12"/>
      <c r="E363" s="32"/>
      <c r="F363" s="12"/>
      <c r="G363" s="7"/>
    </row>
    <row r="364" customFormat="false" ht="18.75" hidden="false" customHeight="true" outlineLevel="0" collapsed="false">
      <c r="B364" s="14"/>
      <c r="C364" s="15"/>
      <c r="D364" s="18"/>
      <c r="E364" s="31"/>
      <c r="F364" s="18"/>
      <c r="G364" s="15"/>
    </row>
    <row r="365" customFormat="false" ht="18.75" hidden="false" customHeight="true" outlineLevel="0" collapsed="false">
      <c r="B365" s="6"/>
      <c r="C365" s="7"/>
      <c r="D365" s="12"/>
      <c r="E365" s="32"/>
      <c r="F365" s="12"/>
      <c r="G365" s="7"/>
    </row>
    <row r="366" customFormat="false" ht="18.75" hidden="false" customHeight="true" outlineLevel="0" collapsed="false">
      <c r="B366" s="14"/>
      <c r="C366" s="15"/>
      <c r="D366" s="18"/>
      <c r="E366" s="31"/>
      <c r="F366" s="18"/>
      <c r="G366" s="15"/>
    </row>
    <row r="367" customFormat="false" ht="18.75" hidden="false" customHeight="true" outlineLevel="0" collapsed="false">
      <c r="B367" s="6"/>
      <c r="C367" s="7"/>
      <c r="D367" s="12"/>
      <c r="E367" s="32"/>
      <c r="F367" s="12"/>
      <c r="G367" s="7"/>
    </row>
    <row r="368" customFormat="false" ht="18.75" hidden="false" customHeight="true" outlineLevel="0" collapsed="false">
      <c r="B368" s="14"/>
      <c r="C368" s="15"/>
      <c r="D368" s="18"/>
      <c r="E368" s="31"/>
      <c r="F368" s="18"/>
      <c r="G368" s="15"/>
    </row>
    <row r="369" customFormat="false" ht="18.75" hidden="false" customHeight="true" outlineLevel="0" collapsed="false">
      <c r="B369" s="6"/>
      <c r="C369" s="7"/>
      <c r="D369" s="12"/>
      <c r="E369" s="32"/>
      <c r="F369" s="12"/>
      <c r="G369" s="7"/>
    </row>
    <row r="370" customFormat="false" ht="18.75" hidden="false" customHeight="true" outlineLevel="0" collapsed="false">
      <c r="B370" s="14"/>
      <c r="C370" s="15"/>
      <c r="D370" s="18"/>
      <c r="E370" s="31"/>
      <c r="F370" s="18"/>
      <c r="G370" s="15"/>
    </row>
    <row r="371" customFormat="false" ht="18.75" hidden="false" customHeight="true" outlineLevel="0" collapsed="false">
      <c r="B371" s="6"/>
      <c r="C371" s="7"/>
      <c r="D371" s="12"/>
      <c r="E371" s="32"/>
      <c r="F371" s="12"/>
      <c r="G371" s="7"/>
    </row>
    <row r="372" customFormat="false" ht="18.75" hidden="false" customHeight="true" outlineLevel="0" collapsed="false">
      <c r="B372" s="14"/>
      <c r="C372" s="15"/>
      <c r="D372" s="18"/>
      <c r="E372" s="31"/>
      <c r="F372" s="18"/>
      <c r="G372" s="15"/>
    </row>
    <row r="373" customFormat="false" ht="18.75" hidden="false" customHeight="true" outlineLevel="0" collapsed="false">
      <c r="B373" s="6"/>
      <c r="C373" s="7"/>
      <c r="D373" s="12"/>
      <c r="E373" s="32"/>
      <c r="F373" s="12"/>
      <c r="G373" s="7"/>
    </row>
    <row r="374" customFormat="false" ht="18.75" hidden="false" customHeight="true" outlineLevel="0" collapsed="false">
      <c r="B374" s="14"/>
      <c r="C374" s="15"/>
      <c r="D374" s="18"/>
      <c r="E374" s="31"/>
      <c r="F374" s="18"/>
      <c r="G374" s="15"/>
    </row>
    <row r="375" customFormat="false" ht="18.75" hidden="false" customHeight="true" outlineLevel="0" collapsed="false">
      <c r="B375" s="6"/>
      <c r="C375" s="7"/>
      <c r="D375" s="12"/>
      <c r="E375" s="32"/>
      <c r="F375" s="12"/>
      <c r="G375" s="7"/>
    </row>
    <row r="376" customFormat="false" ht="18.75" hidden="false" customHeight="true" outlineLevel="0" collapsed="false">
      <c r="B376" s="14"/>
      <c r="C376" s="15"/>
      <c r="D376" s="18"/>
      <c r="E376" s="31"/>
      <c r="F376" s="18"/>
      <c r="G376" s="15"/>
    </row>
    <row r="377" customFormat="false" ht="18.75" hidden="false" customHeight="true" outlineLevel="0" collapsed="false">
      <c r="B377" s="6"/>
      <c r="C377" s="7"/>
      <c r="D377" s="12"/>
      <c r="E377" s="32"/>
      <c r="F377" s="12"/>
      <c r="G377" s="7"/>
    </row>
    <row r="378" customFormat="false" ht="18.75" hidden="false" customHeight="true" outlineLevel="0" collapsed="false">
      <c r="B378" s="14"/>
      <c r="C378" s="15"/>
      <c r="D378" s="18"/>
      <c r="E378" s="31"/>
      <c r="F378" s="18"/>
      <c r="G378" s="15"/>
    </row>
    <row r="379" customFormat="false" ht="18.75" hidden="false" customHeight="true" outlineLevel="0" collapsed="false">
      <c r="B379" s="6"/>
      <c r="C379" s="7"/>
      <c r="D379" s="12"/>
      <c r="E379" s="32"/>
      <c r="F379" s="12"/>
      <c r="G379" s="7"/>
    </row>
    <row r="380" customFormat="false" ht="18.75" hidden="false" customHeight="true" outlineLevel="0" collapsed="false">
      <c r="B380" s="14"/>
      <c r="C380" s="15"/>
      <c r="D380" s="18"/>
      <c r="E380" s="31"/>
      <c r="F380" s="18"/>
      <c r="G380" s="15"/>
    </row>
    <row r="381" customFormat="false" ht="18.75" hidden="false" customHeight="true" outlineLevel="0" collapsed="false">
      <c r="B381" s="6"/>
      <c r="C381" s="7"/>
      <c r="D381" s="12"/>
      <c r="E381" s="32"/>
      <c r="F381" s="12"/>
      <c r="G381" s="7"/>
    </row>
    <row r="382" customFormat="false" ht="18.75" hidden="false" customHeight="true" outlineLevel="0" collapsed="false">
      <c r="B382" s="14"/>
      <c r="C382" s="15"/>
      <c r="D382" s="18"/>
      <c r="E382" s="31"/>
      <c r="F382" s="18"/>
      <c r="G382" s="15"/>
    </row>
    <row r="383" customFormat="false" ht="18.75" hidden="false" customHeight="true" outlineLevel="0" collapsed="false">
      <c r="B383" s="6"/>
      <c r="C383" s="7"/>
      <c r="D383" s="12"/>
      <c r="E383" s="32"/>
      <c r="F383" s="12"/>
      <c r="G383" s="7"/>
    </row>
    <row r="384" customFormat="false" ht="18.75" hidden="false" customHeight="true" outlineLevel="0" collapsed="false">
      <c r="B384" s="14"/>
      <c r="C384" s="15"/>
      <c r="D384" s="18"/>
      <c r="E384" s="31"/>
      <c r="F384" s="18"/>
      <c r="G384" s="15"/>
    </row>
    <row r="385" customFormat="false" ht="18.75" hidden="false" customHeight="true" outlineLevel="0" collapsed="false">
      <c r="B385" s="6"/>
      <c r="C385" s="7"/>
      <c r="D385" s="12"/>
      <c r="E385" s="32"/>
      <c r="F385" s="12"/>
      <c r="G385" s="7"/>
    </row>
    <row r="386" customFormat="false" ht="18.75" hidden="false" customHeight="true" outlineLevel="0" collapsed="false">
      <c r="B386" s="14"/>
      <c r="C386" s="15"/>
      <c r="D386" s="18"/>
      <c r="E386" s="31"/>
      <c r="F386" s="18"/>
      <c r="G386" s="15"/>
    </row>
    <row r="387" customFormat="false" ht="18.75" hidden="false" customHeight="true" outlineLevel="0" collapsed="false">
      <c r="B387" s="6"/>
      <c r="C387" s="7"/>
      <c r="D387" s="12"/>
      <c r="E387" s="32"/>
      <c r="F387" s="12"/>
      <c r="G387" s="7"/>
    </row>
    <row r="388" customFormat="false" ht="18.75" hidden="false" customHeight="true" outlineLevel="0" collapsed="false">
      <c r="B388" s="14"/>
      <c r="C388" s="15"/>
      <c r="D388" s="18"/>
      <c r="E388" s="31"/>
      <c r="F388" s="18"/>
      <c r="G388" s="15"/>
    </row>
    <row r="389" customFormat="false" ht="18.75" hidden="false" customHeight="true" outlineLevel="0" collapsed="false">
      <c r="B389" s="6"/>
      <c r="C389" s="7"/>
      <c r="D389" s="12"/>
      <c r="E389" s="32"/>
      <c r="F389" s="12"/>
      <c r="G389" s="7"/>
    </row>
    <row r="390" customFormat="false" ht="18.75" hidden="false" customHeight="true" outlineLevel="0" collapsed="false">
      <c r="B390" s="14"/>
      <c r="C390" s="15"/>
      <c r="D390" s="18"/>
      <c r="E390" s="31"/>
      <c r="F390" s="18"/>
      <c r="G390" s="15"/>
    </row>
    <row r="391" customFormat="false" ht="18.75" hidden="false" customHeight="true" outlineLevel="0" collapsed="false">
      <c r="B391" s="6"/>
      <c r="C391" s="7"/>
      <c r="D391" s="12"/>
      <c r="E391" s="32"/>
      <c r="F391" s="12"/>
      <c r="G391" s="7"/>
    </row>
    <row r="392" customFormat="false" ht="18.75" hidden="false" customHeight="true" outlineLevel="0" collapsed="false">
      <c r="B392" s="14"/>
      <c r="C392" s="15"/>
      <c r="D392" s="18"/>
      <c r="E392" s="31"/>
      <c r="F392" s="18"/>
      <c r="G392" s="15"/>
    </row>
    <row r="393" customFormat="false" ht="18.75" hidden="false" customHeight="true" outlineLevel="0" collapsed="false">
      <c r="B393" s="6"/>
      <c r="C393" s="7"/>
      <c r="D393" s="12"/>
      <c r="E393" s="32"/>
      <c r="F393" s="12"/>
      <c r="G393" s="7"/>
    </row>
    <row r="394" customFormat="false" ht="18.75" hidden="false" customHeight="true" outlineLevel="0" collapsed="false">
      <c r="B394" s="14"/>
      <c r="C394" s="15"/>
      <c r="D394" s="18"/>
      <c r="E394" s="31"/>
      <c r="F394" s="18"/>
      <c r="G394" s="15"/>
    </row>
    <row r="395" customFormat="false" ht="18.75" hidden="false" customHeight="true" outlineLevel="0" collapsed="false">
      <c r="B395" s="6"/>
      <c r="C395" s="7"/>
      <c r="D395" s="12"/>
      <c r="E395" s="32"/>
      <c r="F395" s="12"/>
      <c r="G395" s="7"/>
    </row>
    <row r="396" customFormat="false" ht="18.75" hidden="false" customHeight="true" outlineLevel="0" collapsed="false">
      <c r="B396" s="14"/>
      <c r="C396" s="15"/>
      <c r="D396" s="18"/>
      <c r="E396" s="31"/>
      <c r="F396" s="18"/>
      <c r="G396" s="15"/>
    </row>
    <row r="397" customFormat="false" ht="18.75" hidden="false" customHeight="true" outlineLevel="0" collapsed="false">
      <c r="B397" s="6"/>
      <c r="C397" s="7"/>
      <c r="D397" s="12"/>
      <c r="E397" s="32"/>
      <c r="F397" s="12"/>
      <c r="G397" s="7"/>
    </row>
    <row r="398" customFormat="false" ht="18.75" hidden="false" customHeight="true" outlineLevel="0" collapsed="false">
      <c r="B398" s="14"/>
      <c r="C398" s="15"/>
      <c r="D398" s="18"/>
      <c r="E398" s="31"/>
      <c r="F398" s="18"/>
      <c r="G398" s="15"/>
    </row>
    <row r="399" customFormat="false" ht="18.75" hidden="false" customHeight="true" outlineLevel="0" collapsed="false">
      <c r="B399" s="6"/>
      <c r="C399" s="7"/>
      <c r="D399" s="12"/>
      <c r="E399" s="32"/>
      <c r="F399" s="12"/>
      <c r="G399" s="7"/>
    </row>
    <row r="400" customFormat="false" ht="18.75" hidden="false" customHeight="true" outlineLevel="0" collapsed="false">
      <c r="B400" s="14"/>
      <c r="C400" s="15"/>
      <c r="D400" s="18"/>
      <c r="E400" s="31"/>
      <c r="F400" s="18"/>
      <c r="G400" s="15"/>
    </row>
    <row r="401" customFormat="false" ht="18.75" hidden="false" customHeight="true" outlineLevel="0" collapsed="false">
      <c r="B401" s="6"/>
      <c r="C401" s="7"/>
      <c r="D401" s="12"/>
      <c r="E401" s="32"/>
      <c r="F401" s="12"/>
      <c r="G401" s="7"/>
    </row>
    <row r="402" customFormat="false" ht="18.75" hidden="false" customHeight="true" outlineLevel="0" collapsed="false">
      <c r="B402" s="14"/>
      <c r="C402" s="15"/>
      <c r="D402" s="18"/>
      <c r="E402" s="31"/>
      <c r="F402" s="18"/>
      <c r="G402" s="15"/>
    </row>
    <row r="403" customFormat="false" ht="18.75" hidden="false" customHeight="true" outlineLevel="0" collapsed="false">
      <c r="B403" s="6"/>
      <c r="C403" s="7"/>
      <c r="D403" s="12"/>
      <c r="E403" s="32"/>
      <c r="F403" s="12"/>
      <c r="G403" s="7"/>
    </row>
    <row r="404" customFormat="false" ht="18.75" hidden="false" customHeight="true" outlineLevel="0" collapsed="false">
      <c r="B404" s="14"/>
      <c r="C404" s="15"/>
      <c r="D404" s="18"/>
      <c r="E404" s="31"/>
      <c r="F404" s="18"/>
      <c r="G404" s="15"/>
    </row>
    <row r="405" customFormat="false" ht="18.75" hidden="false" customHeight="true" outlineLevel="0" collapsed="false">
      <c r="B405" s="6"/>
      <c r="C405" s="7"/>
      <c r="D405" s="12"/>
      <c r="E405" s="32"/>
      <c r="F405" s="12"/>
      <c r="G405" s="7"/>
    </row>
    <row r="406" customFormat="false" ht="18.75" hidden="false" customHeight="true" outlineLevel="0" collapsed="false">
      <c r="B406" s="14"/>
      <c r="C406" s="15"/>
      <c r="D406" s="18"/>
      <c r="E406" s="31"/>
      <c r="F406" s="18"/>
      <c r="G406" s="15"/>
    </row>
    <row r="407" customFormat="false" ht="18.75" hidden="false" customHeight="true" outlineLevel="0" collapsed="false">
      <c r="B407" s="6"/>
      <c r="C407" s="7"/>
      <c r="D407" s="12"/>
      <c r="E407" s="32"/>
      <c r="F407" s="12"/>
      <c r="G407" s="7"/>
    </row>
    <row r="408" customFormat="false" ht="18.75" hidden="false" customHeight="true" outlineLevel="0" collapsed="false">
      <c r="B408" s="14"/>
      <c r="C408" s="15"/>
      <c r="D408" s="18"/>
      <c r="E408" s="31"/>
      <c r="F408" s="18"/>
      <c r="G408" s="15"/>
    </row>
    <row r="409" customFormat="false" ht="18.75" hidden="false" customHeight="true" outlineLevel="0" collapsed="false">
      <c r="B409" s="6"/>
      <c r="C409" s="7"/>
      <c r="D409" s="12"/>
      <c r="E409" s="32"/>
      <c r="F409" s="12"/>
      <c r="G409" s="7"/>
    </row>
    <row r="410" customFormat="false" ht="18.75" hidden="false" customHeight="true" outlineLevel="0" collapsed="false">
      <c r="B410" s="14"/>
      <c r="C410" s="15"/>
      <c r="D410" s="18"/>
      <c r="E410" s="31"/>
      <c r="F410" s="18"/>
      <c r="G410" s="15"/>
    </row>
    <row r="411" customFormat="false" ht="18.75" hidden="false" customHeight="true" outlineLevel="0" collapsed="false">
      <c r="B411" s="6"/>
      <c r="C411" s="7"/>
      <c r="D411" s="12"/>
      <c r="E411" s="32"/>
      <c r="F411" s="12"/>
      <c r="G411" s="7"/>
    </row>
    <row r="412" customFormat="false" ht="18.75" hidden="false" customHeight="true" outlineLevel="0" collapsed="false">
      <c r="B412" s="14"/>
      <c r="C412" s="15"/>
      <c r="D412" s="18"/>
      <c r="E412" s="31"/>
      <c r="F412" s="18"/>
      <c r="G412" s="15"/>
    </row>
    <row r="413" customFormat="false" ht="18.75" hidden="false" customHeight="true" outlineLevel="0" collapsed="false">
      <c r="B413" s="6"/>
      <c r="C413" s="7"/>
      <c r="D413" s="12"/>
      <c r="E413" s="32"/>
      <c r="F413" s="12"/>
      <c r="G413" s="7"/>
    </row>
    <row r="414" customFormat="false" ht="18.75" hidden="false" customHeight="true" outlineLevel="0" collapsed="false">
      <c r="B414" s="14"/>
      <c r="C414" s="15"/>
      <c r="D414" s="18"/>
      <c r="E414" s="31"/>
      <c r="F414" s="18"/>
      <c r="G414" s="15"/>
    </row>
    <row r="415" customFormat="false" ht="18.75" hidden="false" customHeight="true" outlineLevel="0" collapsed="false">
      <c r="B415" s="6"/>
      <c r="C415" s="7"/>
      <c r="D415" s="12"/>
      <c r="E415" s="32"/>
      <c r="F415" s="12"/>
      <c r="G415" s="7"/>
    </row>
    <row r="416" customFormat="false" ht="18.75" hidden="false" customHeight="true" outlineLevel="0" collapsed="false">
      <c r="B416" s="14"/>
      <c r="C416" s="15"/>
      <c r="D416" s="18"/>
      <c r="E416" s="31"/>
      <c r="F416" s="18"/>
      <c r="G416" s="15"/>
    </row>
    <row r="417" customFormat="false" ht="18.75" hidden="false" customHeight="true" outlineLevel="0" collapsed="false">
      <c r="B417" s="6"/>
      <c r="C417" s="7"/>
      <c r="D417" s="12"/>
      <c r="E417" s="32"/>
      <c r="F417" s="12"/>
      <c r="G417" s="7"/>
    </row>
    <row r="418" customFormat="false" ht="18.75" hidden="false" customHeight="true" outlineLevel="0" collapsed="false">
      <c r="B418" s="14"/>
      <c r="C418" s="15"/>
      <c r="D418" s="18"/>
      <c r="E418" s="31"/>
      <c r="F418" s="18"/>
      <c r="G418" s="15"/>
    </row>
    <row r="419" customFormat="false" ht="18.75" hidden="false" customHeight="true" outlineLevel="0" collapsed="false">
      <c r="B419" s="6"/>
      <c r="C419" s="7"/>
      <c r="D419" s="12"/>
      <c r="E419" s="32"/>
      <c r="F419" s="12"/>
      <c r="G419" s="7"/>
    </row>
    <row r="420" customFormat="false" ht="18.75" hidden="false" customHeight="true" outlineLevel="0" collapsed="false">
      <c r="B420" s="14"/>
      <c r="C420" s="15"/>
      <c r="D420" s="18"/>
      <c r="E420" s="31"/>
      <c r="F420" s="18"/>
      <c r="G420" s="15"/>
    </row>
    <row r="421" customFormat="false" ht="18.75" hidden="false" customHeight="true" outlineLevel="0" collapsed="false">
      <c r="B421" s="6"/>
      <c r="C421" s="7"/>
      <c r="D421" s="12"/>
      <c r="E421" s="32"/>
      <c r="F421" s="12"/>
      <c r="G421" s="7"/>
    </row>
    <row r="422" customFormat="false" ht="18.75" hidden="false" customHeight="true" outlineLevel="0" collapsed="false">
      <c r="B422" s="14"/>
      <c r="C422" s="15"/>
      <c r="D422" s="18"/>
      <c r="E422" s="31"/>
      <c r="F422" s="18"/>
      <c r="G422" s="15"/>
    </row>
    <row r="423" customFormat="false" ht="18.75" hidden="false" customHeight="true" outlineLevel="0" collapsed="false">
      <c r="B423" s="6"/>
      <c r="C423" s="7"/>
      <c r="D423" s="12"/>
      <c r="E423" s="32"/>
      <c r="F423" s="12"/>
      <c r="G423" s="7"/>
    </row>
    <row r="424" customFormat="false" ht="18.75" hidden="false" customHeight="true" outlineLevel="0" collapsed="false">
      <c r="B424" s="14"/>
      <c r="C424" s="15"/>
      <c r="D424" s="18"/>
      <c r="E424" s="31"/>
      <c r="F424" s="18"/>
      <c r="G424" s="15"/>
    </row>
    <row r="425" customFormat="false" ht="18.75" hidden="false" customHeight="true" outlineLevel="0" collapsed="false">
      <c r="B425" s="6"/>
      <c r="C425" s="7"/>
      <c r="D425" s="12"/>
      <c r="E425" s="32"/>
      <c r="F425" s="12"/>
      <c r="G425" s="7"/>
    </row>
    <row r="426" customFormat="false" ht="18.75" hidden="false" customHeight="true" outlineLevel="0" collapsed="false">
      <c r="B426" s="14"/>
      <c r="C426" s="15"/>
      <c r="D426" s="18"/>
      <c r="E426" s="31"/>
      <c r="F426" s="18"/>
      <c r="G426" s="15"/>
    </row>
    <row r="427" customFormat="false" ht="18.75" hidden="false" customHeight="true" outlineLevel="0" collapsed="false">
      <c r="B427" s="6"/>
      <c r="C427" s="7"/>
      <c r="D427" s="12"/>
      <c r="E427" s="32"/>
      <c r="F427" s="12"/>
      <c r="G427" s="7"/>
    </row>
    <row r="428" customFormat="false" ht="18.75" hidden="false" customHeight="true" outlineLevel="0" collapsed="false">
      <c r="B428" s="14"/>
      <c r="C428" s="15"/>
      <c r="D428" s="18"/>
      <c r="E428" s="31"/>
      <c r="F428" s="18"/>
      <c r="G428" s="15"/>
    </row>
    <row r="429" customFormat="false" ht="18.75" hidden="false" customHeight="true" outlineLevel="0" collapsed="false">
      <c r="B429" s="6"/>
      <c r="C429" s="7"/>
      <c r="D429" s="12"/>
      <c r="E429" s="32"/>
      <c r="F429" s="12"/>
      <c r="G429" s="7"/>
    </row>
    <row r="430" customFormat="false" ht="18.75" hidden="false" customHeight="true" outlineLevel="0" collapsed="false">
      <c r="B430" s="14"/>
      <c r="C430" s="15"/>
      <c r="D430" s="18"/>
      <c r="E430" s="31"/>
      <c r="F430" s="18"/>
      <c r="G430" s="15"/>
    </row>
    <row r="431" customFormat="false" ht="18.75" hidden="false" customHeight="true" outlineLevel="0" collapsed="false">
      <c r="B431" s="6"/>
      <c r="C431" s="7"/>
      <c r="D431" s="12"/>
      <c r="E431" s="32"/>
      <c r="F431" s="12"/>
      <c r="G431" s="7"/>
    </row>
    <row r="432" customFormat="false" ht="18.75" hidden="false" customHeight="true" outlineLevel="0" collapsed="false">
      <c r="B432" s="14"/>
      <c r="C432" s="15"/>
      <c r="D432" s="18"/>
      <c r="E432" s="31"/>
      <c r="F432" s="18"/>
      <c r="G432" s="15"/>
    </row>
    <row r="433" customFormat="false" ht="18.75" hidden="false" customHeight="true" outlineLevel="0" collapsed="false">
      <c r="B433" s="6"/>
      <c r="C433" s="7"/>
      <c r="D433" s="12"/>
      <c r="E433" s="32"/>
      <c r="F433" s="12"/>
      <c r="G433" s="7"/>
    </row>
    <row r="434" customFormat="false" ht="18.75" hidden="false" customHeight="true" outlineLevel="0" collapsed="false">
      <c r="B434" s="14"/>
      <c r="C434" s="15"/>
      <c r="D434" s="18"/>
      <c r="E434" s="31"/>
      <c r="F434" s="18"/>
      <c r="G434" s="15"/>
    </row>
    <row r="435" customFormat="false" ht="18.75" hidden="false" customHeight="true" outlineLevel="0" collapsed="false">
      <c r="B435" s="6"/>
      <c r="C435" s="7"/>
      <c r="D435" s="12"/>
      <c r="E435" s="32"/>
      <c r="F435" s="12"/>
      <c r="G435" s="7"/>
    </row>
    <row r="436" customFormat="false" ht="18.75" hidden="false" customHeight="true" outlineLevel="0" collapsed="false">
      <c r="B436" s="14"/>
      <c r="C436" s="15"/>
      <c r="D436" s="18"/>
      <c r="E436" s="31"/>
      <c r="F436" s="18"/>
      <c r="G436" s="15"/>
    </row>
    <row r="437" customFormat="false" ht="18.75" hidden="false" customHeight="true" outlineLevel="0" collapsed="false">
      <c r="B437" s="6"/>
      <c r="C437" s="7"/>
      <c r="D437" s="12"/>
      <c r="E437" s="32"/>
      <c r="F437" s="12"/>
      <c r="G437" s="7"/>
    </row>
    <row r="438" customFormat="false" ht="18.75" hidden="false" customHeight="true" outlineLevel="0" collapsed="false">
      <c r="B438" s="14"/>
      <c r="C438" s="15"/>
      <c r="D438" s="18"/>
      <c r="E438" s="31"/>
      <c r="F438" s="18"/>
      <c r="G438" s="15"/>
    </row>
    <row r="439" customFormat="false" ht="18.75" hidden="false" customHeight="true" outlineLevel="0" collapsed="false">
      <c r="B439" s="6"/>
      <c r="C439" s="7"/>
      <c r="D439" s="12"/>
      <c r="E439" s="32"/>
      <c r="F439" s="12"/>
      <c r="G439" s="7"/>
    </row>
    <row r="440" customFormat="false" ht="18.75" hidden="false" customHeight="true" outlineLevel="0" collapsed="false">
      <c r="B440" s="14"/>
      <c r="C440" s="15"/>
      <c r="D440" s="18"/>
      <c r="E440" s="31"/>
      <c r="F440" s="18"/>
      <c r="G440" s="15"/>
    </row>
    <row r="441" customFormat="false" ht="18.75" hidden="false" customHeight="true" outlineLevel="0" collapsed="false">
      <c r="B441" s="6"/>
      <c r="C441" s="7"/>
      <c r="D441" s="12"/>
      <c r="E441" s="32"/>
      <c r="F441" s="12"/>
      <c r="G441" s="7"/>
    </row>
    <row r="442" customFormat="false" ht="18.75" hidden="false" customHeight="true" outlineLevel="0" collapsed="false">
      <c r="B442" s="14"/>
      <c r="C442" s="15"/>
      <c r="D442" s="18"/>
      <c r="E442" s="31"/>
      <c r="F442" s="18"/>
      <c r="G442" s="15"/>
    </row>
    <row r="443" customFormat="false" ht="18.75" hidden="false" customHeight="true" outlineLevel="0" collapsed="false">
      <c r="B443" s="6"/>
      <c r="C443" s="7"/>
      <c r="D443" s="12"/>
      <c r="E443" s="32"/>
      <c r="F443" s="12"/>
      <c r="G443" s="7"/>
    </row>
    <row r="444" customFormat="false" ht="18.75" hidden="false" customHeight="true" outlineLevel="0" collapsed="false">
      <c r="B444" s="14"/>
      <c r="C444" s="15"/>
      <c r="D444" s="18"/>
      <c r="E444" s="31"/>
      <c r="F444" s="18"/>
      <c r="G444" s="15"/>
    </row>
    <row r="445" customFormat="false" ht="18.75" hidden="false" customHeight="true" outlineLevel="0" collapsed="false">
      <c r="B445" s="6"/>
      <c r="C445" s="7"/>
      <c r="D445" s="12"/>
      <c r="E445" s="32"/>
      <c r="F445" s="12"/>
      <c r="G445" s="7"/>
    </row>
    <row r="446" customFormat="false" ht="18.75" hidden="false" customHeight="true" outlineLevel="0" collapsed="false">
      <c r="B446" s="14"/>
      <c r="C446" s="15"/>
      <c r="D446" s="18"/>
      <c r="E446" s="31"/>
      <c r="F446" s="18"/>
      <c r="G446" s="15"/>
    </row>
    <row r="447" customFormat="false" ht="18.75" hidden="false" customHeight="true" outlineLevel="0" collapsed="false">
      <c r="B447" s="6"/>
      <c r="C447" s="7"/>
      <c r="D447" s="12"/>
      <c r="E447" s="32"/>
      <c r="F447" s="12"/>
      <c r="G447" s="7"/>
    </row>
    <row r="448" customFormat="false" ht="18.75" hidden="false" customHeight="true" outlineLevel="0" collapsed="false">
      <c r="B448" s="14"/>
      <c r="C448" s="15"/>
      <c r="D448" s="18"/>
      <c r="E448" s="31"/>
      <c r="F448" s="18"/>
      <c r="G448" s="15"/>
    </row>
    <row r="449" customFormat="false" ht="18.75" hidden="false" customHeight="true" outlineLevel="0" collapsed="false">
      <c r="B449" s="6"/>
      <c r="C449" s="7"/>
      <c r="D449" s="12"/>
      <c r="E449" s="32"/>
      <c r="F449" s="12"/>
      <c r="G449" s="7"/>
    </row>
    <row r="450" customFormat="false" ht="18.75" hidden="false" customHeight="true" outlineLevel="0" collapsed="false">
      <c r="B450" s="14"/>
      <c r="C450" s="15"/>
      <c r="D450" s="18"/>
      <c r="E450" s="31"/>
      <c r="F450" s="18"/>
      <c r="G450" s="15"/>
    </row>
    <row r="451" customFormat="false" ht="18.75" hidden="false" customHeight="true" outlineLevel="0" collapsed="false">
      <c r="B451" s="6"/>
      <c r="C451" s="7"/>
      <c r="D451" s="12"/>
      <c r="E451" s="32"/>
      <c r="F451" s="12"/>
      <c r="G451" s="7"/>
    </row>
    <row r="452" customFormat="false" ht="18.75" hidden="false" customHeight="true" outlineLevel="0" collapsed="false">
      <c r="B452" s="14"/>
      <c r="C452" s="15"/>
      <c r="D452" s="18"/>
      <c r="E452" s="31"/>
      <c r="F452" s="18"/>
      <c r="G452" s="15"/>
    </row>
    <row r="453" customFormat="false" ht="18.75" hidden="false" customHeight="true" outlineLevel="0" collapsed="false">
      <c r="B453" s="6"/>
      <c r="C453" s="7"/>
      <c r="D453" s="12"/>
      <c r="E453" s="32"/>
      <c r="F453" s="12"/>
      <c r="G453" s="7"/>
    </row>
    <row r="454" customFormat="false" ht="18.75" hidden="false" customHeight="true" outlineLevel="0" collapsed="false">
      <c r="B454" s="14"/>
      <c r="C454" s="15"/>
      <c r="D454" s="18"/>
      <c r="E454" s="31"/>
      <c r="F454" s="18"/>
      <c r="G454" s="15"/>
    </row>
    <row r="455" customFormat="false" ht="18.75" hidden="false" customHeight="true" outlineLevel="0" collapsed="false">
      <c r="B455" s="6"/>
      <c r="C455" s="7"/>
      <c r="D455" s="12"/>
      <c r="E455" s="32"/>
      <c r="F455" s="12"/>
      <c r="G455" s="7"/>
    </row>
    <row r="456" customFormat="false" ht="18.75" hidden="false" customHeight="true" outlineLevel="0" collapsed="false">
      <c r="B456" s="14"/>
      <c r="C456" s="15"/>
      <c r="D456" s="18"/>
      <c r="E456" s="31"/>
      <c r="F456" s="18"/>
      <c r="G456" s="15"/>
    </row>
    <row r="457" customFormat="false" ht="18.75" hidden="false" customHeight="true" outlineLevel="0" collapsed="false">
      <c r="B457" s="6"/>
      <c r="C457" s="7"/>
      <c r="D457" s="12"/>
      <c r="E457" s="32"/>
      <c r="F457" s="12"/>
      <c r="G457" s="7"/>
    </row>
    <row r="458" customFormat="false" ht="18.75" hidden="false" customHeight="true" outlineLevel="0" collapsed="false">
      <c r="B458" s="14"/>
      <c r="C458" s="15"/>
      <c r="D458" s="18"/>
      <c r="E458" s="31"/>
      <c r="F458" s="18"/>
      <c r="G458" s="15"/>
    </row>
    <row r="459" customFormat="false" ht="18.75" hidden="false" customHeight="true" outlineLevel="0" collapsed="false">
      <c r="B459" s="6"/>
      <c r="C459" s="7"/>
      <c r="D459" s="12"/>
      <c r="E459" s="32"/>
      <c r="F459" s="12"/>
      <c r="G459" s="7"/>
    </row>
    <row r="460" customFormat="false" ht="18.75" hidden="false" customHeight="true" outlineLevel="0" collapsed="false">
      <c r="B460" s="14"/>
      <c r="C460" s="15"/>
      <c r="D460" s="18"/>
      <c r="E460" s="31"/>
      <c r="F460" s="18"/>
      <c r="G460" s="15"/>
    </row>
    <row r="461" customFormat="false" ht="18.75" hidden="false" customHeight="true" outlineLevel="0" collapsed="false">
      <c r="B461" s="6"/>
      <c r="C461" s="7"/>
      <c r="D461" s="12"/>
      <c r="E461" s="32"/>
      <c r="F461" s="12"/>
      <c r="G461" s="7"/>
    </row>
    <row r="462" customFormat="false" ht="18.75" hidden="false" customHeight="true" outlineLevel="0" collapsed="false">
      <c r="B462" s="14"/>
      <c r="C462" s="15"/>
      <c r="D462" s="18"/>
      <c r="E462" s="31"/>
      <c r="F462" s="18"/>
      <c r="G462" s="15"/>
    </row>
    <row r="463" customFormat="false" ht="18.75" hidden="false" customHeight="true" outlineLevel="0" collapsed="false">
      <c r="B463" s="6"/>
      <c r="C463" s="7"/>
      <c r="D463" s="12"/>
      <c r="E463" s="32"/>
      <c r="F463" s="12"/>
      <c r="G463" s="7"/>
    </row>
    <row r="464" customFormat="false" ht="18.75" hidden="false" customHeight="true" outlineLevel="0" collapsed="false">
      <c r="B464" s="14"/>
      <c r="C464" s="15"/>
      <c r="D464" s="18"/>
      <c r="E464" s="31"/>
      <c r="F464" s="18"/>
      <c r="G464" s="15"/>
    </row>
    <row r="465" customFormat="false" ht="18.75" hidden="false" customHeight="true" outlineLevel="0" collapsed="false">
      <c r="B465" s="6"/>
      <c r="C465" s="7"/>
      <c r="D465" s="12"/>
      <c r="E465" s="32"/>
      <c r="F465" s="12"/>
      <c r="G465" s="7"/>
    </row>
    <row r="466" customFormat="false" ht="18.75" hidden="false" customHeight="true" outlineLevel="0" collapsed="false">
      <c r="B466" s="14"/>
      <c r="C466" s="15"/>
      <c r="D466" s="18"/>
      <c r="E466" s="31"/>
      <c r="F466" s="18"/>
      <c r="G466" s="15"/>
    </row>
    <row r="467" customFormat="false" ht="18.75" hidden="false" customHeight="true" outlineLevel="0" collapsed="false">
      <c r="B467" s="6"/>
      <c r="C467" s="7"/>
      <c r="D467" s="12"/>
      <c r="E467" s="32"/>
      <c r="F467" s="12"/>
      <c r="G467" s="7"/>
    </row>
    <row r="468" customFormat="false" ht="18.75" hidden="false" customHeight="true" outlineLevel="0" collapsed="false">
      <c r="B468" s="14"/>
      <c r="C468" s="15"/>
      <c r="D468" s="18"/>
      <c r="E468" s="31"/>
      <c r="F468" s="18"/>
      <c r="G468" s="15"/>
    </row>
    <row r="469" customFormat="false" ht="18.75" hidden="false" customHeight="true" outlineLevel="0" collapsed="false">
      <c r="B469" s="6"/>
      <c r="C469" s="7"/>
      <c r="D469" s="12"/>
      <c r="E469" s="32"/>
      <c r="F469" s="12"/>
      <c r="G469" s="7"/>
    </row>
    <row r="470" customFormat="false" ht="18.75" hidden="false" customHeight="true" outlineLevel="0" collapsed="false">
      <c r="B470" s="14"/>
      <c r="C470" s="15"/>
      <c r="D470" s="18"/>
      <c r="E470" s="31"/>
      <c r="F470" s="18"/>
      <c r="G470" s="15"/>
    </row>
    <row r="471" customFormat="false" ht="18.75" hidden="false" customHeight="true" outlineLevel="0" collapsed="false">
      <c r="B471" s="6"/>
      <c r="C471" s="7"/>
      <c r="D471" s="12"/>
      <c r="E471" s="32"/>
      <c r="F471" s="12"/>
      <c r="G471" s="7"/>
    </row>
    <row r="472" customFormat="false" ht="18.75" hidden="false" customHeight="true" outlineLevel="0" collapsed="false">
      <c r="B472" s="14"/>
      <c r="C472" s="15"/>
      <c r="D472" s="18"/>
      <c r="E472" s="31"/>
      <c r="F472" s="18"/>
      <c r="G472" s="15"/>
    </row>
    <row r="473" customFormat="false" ht="18.75" hidden="false" customHeight="true" outlineLevel="0" collapsed="false">
      <c r="B473" s="6"/>
      <c r="C473" s="7"/>
      <c r="D473" s="12"/>
      <c r="E473" s="32"/>
      <c r="F473" s="12"/>
      <c r="G473" s="7"/>
    </row>
    <row r="474" customFormat="false" ht="18.75" hidden="false" customHeight="true" outlineLevel="0" collapsed="false">
      <c r="B474" s="14"/>
      <c r="C474" s="15"/>
      <c r="D474" s="18"/>
      <c r="E474" s="31"/>
      <c r="F474" s="18"/>
      <c r="G474" s="15"/>
    </row>
    <row r="475" customFormat="false" ht="18.75" hidden="false" customHeight="true" outlineLevel="0" collapsed="false">
      <c r="B475" s="6"/>
      <c r="C475" s="7"/>
      <c r="D475" s="12"/>
      <c r="E475" s="32"/>
      <c r="F475" s="12"/>
      <c r="G475" s="7"/>
    </row>
    <row r="476" customFormat="false" ht="18.75" hidden="false" customHeight="true" outlineLevel="0" collapsed="false">
      <c r="B476" s="14"/>
      <c r="C476" s="15"/>
      <c r="D476" s="18"/>
      <c r="E476" s="31"/>
      <c r="F476" s="18"/>
      <c r="G476" s="15"/>
    </row>
    <row r="477" customFormat="false" ht="18.75" hidden="false" customHeight="true" outlineLevel="0" collapsed="false">
      <c r="B477" s="6"/>
      <c r="C477" s="7"/>
      <c r="D477" s="12"/>
      <c r="E477" s="32"/>
      <c r="F477" s="12"/>
      <c r="G477" s="7"/>
    </row>
    <row r="478" customFormat="false" ht="18.75" hidden="false" customHeight="true" outlineLevel="0" collapsed="false">
      <c r="B478" s="14"/>
      <c r="C478" s="15"/>
      <c r="D478" s="18"/>
      <c r="E478" s="31"/>
      <c r="F478" s="18"/>
      <c r="G478" s="15"/>
    </row>
    <row r="479" customFormat="false" ht="18.75" hidden="false" customHeight="true" outlineLevel="0" collapsed="false">
      <c r="B479" s="6"/>
      <c r="C479" s="7"/>
      <c r="D479" s="12"/>
      <c r="E479" s="32"/>
      <c r="F479" s="12"/>
      <c r="G479" s="7"/>
    </row>
    <row r="480" customFormat="false" ht="18.75" hidden="false" customHeight="true" outlineLevel="0" collapsed="false">
      <c r="B480" s="14"/>
      <c r="C480" s="15"/>
      <c r="D480" s="18"/>
      <c r="E480" s="31"/>
      <c r="F480" s="18"/>
      <c r="G480" s="15"/>
    </row>
    <row r="481" customFormat="false" ht="18.75" hidden="false" customHeight="true" outlineLevel="0" collapsed="false">
      <c r="B481" s="6"/>
      <c r="C481" s="7"/>
      <c r="D481" s="12"/>
      <c r="E481" s="32"/>
      <c r="F481" s="12"/>
      <c r="G481" s="7"/>
    </row>
    <row r="482" customFormat="false" ht="18.75" hidden="false" customHeight="true" outlineLevel="0" collapsed="false">
      <c r="B482" s="14"/>
      <c r="C482" s="15"/>
      <c r="D482" s="18"/>
      <c r="E482" s="31"/>
      <c r="F482" s="18"/>
      <c r="G482" s="15"/>
    </row>
    <row r="483" customFormat="false" ht="18.75" hidden="false" customHeight="true" outlineLevel="0" collapsed="false">
      <c r="B483" s="6"/>
      <c r="C483" s="7"/>
      <c r="D483" s="12"/>
      <c r="E483" s="32"/>
      <c r="F483" s="12"/>
      <c r="G483" s="7"/>
    </row>
    <row r="484" customFormat="false" ht="18.75" hidden="false" customHeight="true" outlineLevel="0" collapsed="false">
      <c r="B484" s="14"/>
      <c r="C484" s="15"/>
      <c r="D484" s="18"/>
      <c r="E484" s="31"/>
      <c r="F484" s="18"/>
      <c r="G484" s="15"/>
    </row>
    <row r="485" customFormat="false" ht="18.75" hidden="false" customHeight="true" outlineLevel="0" collapsed="false">
      <c r="B485" s="6"/>
      <c r="C485" s="7"/>
      <c r="D485" s="12"/>
      <c r="E485" s="32"/>
      <c r="F485" s="12"/>
      <c r="G485" s="7"/>
    </row>
    <row r="486" customFormat="false" ht="18.75" hidden="false" customHeight="true" outlineLevel="0" collapsed="false">
      <c r="B486" s="14"/>
      <c r="C486" s="15"/>
      <c r="D486" s="18"/>
      <c r="E486" s="31"/>
      <c r="F486" s="18"/>
      <c r="G486" s="15"/>
    </row>
    <row r="487" customFormat="false" ht="18.75" hidden="false" customHeight="true" outlineLevel="0" collapsed="false">
      <c r="B487" s="6"/>
      <c r="C487" s="7"/>
      <c r="D487" s="12"/>
      <c r="E487" s="32"/>
      <c r="F487" s="12"/>
      <c r="G487" s="7"/>
    </row>
    <row r="488" customFormat="false" ht="18.75" hidden="false" customHeight="true" outlineLevel="0" collapsed="false">
      <c r="B488" s="14"/>
      <c r="C488" s="15"/>
      <c r="D488" s="18"/>
      <c r="E488" s="31"/>
      <c r="F488" s="18"/>
      <c r="G488" s="15"/>
    </row>
    <row r="489" customFormat="false" ht="18.75" hidden="false" customHeight="true" outlineLevel="0" collapsed="false">
      <c r="B489" s="6"/>
      <c r="C489" s="7"/>
      <c r="D489" s="12"/>
      <c r="E489" s="32"/>
      <c r="F489" s="12"/>
      <c r="G489" s="7"/>
    </row>
    <row r="490" customFormat="false" ht="18.75" hidden="false" customHeight="true" outlineLevel="0" collapsed="false">
      <c r="B490" s="14"/>
      <c r="C490" s="15"/>
      <c r="D490" s="18"/>
      <c r="E490" s="31"/>
      <c r="F490" s="18"/>
      <c r="G490" s="15"/>
    </row>
    <row r="491" customFormat="false" ht="18.75" hidden="false" customHeight="true" outlineLevel="0" collapsed="false">
      <c r="B491" s="6"/>
      <c r="C491" s="7"/>
      <c r="D491" s="12"/>
      <c r="E491" s="32"/>
      <c r="F491" s="12"/>
      <c r="G491" s="7"/>
    </row>
    <row r="492" customFormat="false" ht="18.75" hidden="false" customHeight="true" outlineLevel="0" collapsed="false">
      <c r="B492" s="14"/>
      <c r="C492" s="15"/>
      <c r="D492" s="18"/>
      <c r="E492" s="31"/>
      <c r="F492" s="18"/>
      <c r="G492" s="15"/>
    </row>
    <row r="493" customFormat="false" ht="18.75" hidden="false" customHeight="true" outlineLevel="0" collapsed="false">
      <c r="B493" s="6"/>
      <c r="C493" s="7"/>
      <c r="D493" s="12"/>
      <c r="E493" s="32"/>
      <c r="F493" s="12"/>
      <c r="G493" s="7"/>
    </row>
    <row r="494" customFormat="false" ht="18.75" hidden="false" customHeight="true" outlineLevel="0" collapsed="false">
      <c r="B494" s="14"/>
      <c r="C494" s="15"/>
      <c r="D494" s="18"/>
      <c r="E494" s="31"/>
      <c r="F494" s="18"/>
      <c r="G494" s="15"/>
    </row>
    <row r="495" customFormat="false" ht="18.75" hidden="false" customHeight="true" outlineLevel="0" collapsed="false">
      <c r="B495" s="6"/>
      <c r="C495" s="7"/>
      <c r="D495" s="12"/>
      <c r="E495" s="32"/>
      <c r="F495" s="12"/>
      <c r="G495" s="7"/>
    </row>
    <row r="496" customFormat="false" ht="18.75" hidden="false" customHeight="true" outlineLevel="0" collapsed="false">
      <c r="B496" s="14"/>
      <c r="C496" s="15"/>
      <c r="D496" s="18"/>
      <c r="E496" s="31"/>
      <c r="F496" s="18"/>
      <c r="G496" s="15"/>
    </row>
    <row r="497" customFormat="false" ht="18.75" hidden="false" customHeight="true" outlineLevel="0" collapsed="false">
      <c r="B497" s="6"/>
      <c r="C497" s="7"/>
      <c r="D497" s="12"/>
      <c r="E497" s="32"/>
      <c r="F497" s="12"/>
      <c r="G497" s="7"/>
    </row>
    <row r="498" customFormat="false" ht="18.75" hidden="false" customHeight="true" outlineLevel="0" collapsed="false">
      <c r="B498" s="14"/>
      <c r="C498" s="15"/>
      <c r="D498" s="18"/>
      <c r="E498" s="31"/>
      <c r="F498" s="18"/>
      <c r="G498" s="15"/>
    </row>
    <row r="499" customFormat="false" ht="18.75" hidden="false" customHeight="true" outlineLevel="0" collapsed="false">
      <c r="B499" s="6"/>
      <c r="C499" s="7"/>
      <c r="D499" s="12"/>
      <c r="E499" s="32"/>
      <c r="F499" s="12"/>
      <c r="G499" s="7"/>
    </row>
    <row r="500" customFormat="false" ht="18.75" hidden="false" customHeight="true" outlineLevel="0" collapsed="false">
      <c r="B500" s="14"/>
      <c r="C500" s="15"/>
      <c r="D500" s="18"/>
      <c r="E500" s="31"/>
      <c r="F500" s="18"/>
      <c r="G500" s="15"/>
    </row>
    <row r="501" customFormat="false" ht="18.75" hidden="false" customHeight="true" outlineLevel="0" collapsed="false">
      <c r="B501" s="6"/>
      <c r="C501" s="7"/>
      <c r="D501" s="12"/>
      <c r="E501" s="32"/>
      <c r="F501" s="12"/>
      <c r="G501" s="7"/>
    </row>
    <row r="502" customFormat="false" ht="18.75" hidden="false" customHeight="true" outlineLevel="0" collapsed="false">
      <c r="B502" s="14"/>
      <c r="C502" s="15"/>
      <c r="D502" s="18"/>
      <c r="E502" s="31"/>
      <c r="F502" s="18"/>
      <c r="G502" s="15"/>
    </row>
    <row r="503" customFormat="false" ht="18.75" hidden="false" customHeight="true" outlineLevel="0" collapsed="false">
      <c r="B503" s="6"/>
      <c r="C503" s="7"/>
      <c r="D503" s="12"/>
      <c r="E503" s="32"/>
      <c r="F503" s="12"/>
      <c r="G503" s="7"/>
    </row>
    <row r="505" customFormat="false" ht="25.5" hidden="false" customHeight="true" outlineLevel="0" collapsed="false">
      <c r="B505" s="33" t="s">
        <v>34</v>
      </c>
      <c r="C505" s="33"/>
      <c r="D505" s="33"/>
      <c r="E505" s="33"/>
      <c r="F505" s="33"/>
      <c r="G505" s="33"/>
    </row>
    <row r="506" customFormat="false" ht="21.75" hidden="false" customHeight="true" outlineLevel="0" collapsed="false">
      <c r="B506" s="20" t="s">
        <v>35</v>
      </c>
      <c r="C506" s="20"/>
      <c r="D506" s="20"/>
      <c r="E506" s="34" t="n">
        <f aca="true">SUMIF(B4:B503,TODAY(),E4:E503)</f>
        <v>0</v>
      </c>
      <c r="F506" s="34"/>
      <c r="G506" s="34"/>
    </row>
    <row r="507" customFormat="false" ht="21.75" hidden="false" customHeight="true" outlineLevel="0" collapsed="false">
      <c r="B507" s="22" t="s">
        <v>36</v>
      </c>
      <c r="C507" s="22"/>
      <c r="D507" s="22"/>
      <c r="E507" s="35" t="n">
        <f aca="true">SUMPRODUCT((ISNUMBER(B4:B503))*(MONTH(IF(ISNUMBER(B4:B503),B4:B503,1))=MONTH(TODAY()))*(YEAR(IF(ISNUMBER(B4:B503),B4:B503,1))=YEAR(TODAY()))*IF(ISNUMBER(E4:E503),E4:E503,0))</f>
        <v>0</v>
      </c>
      <c r="F507" s="35"/>
      <c r="G507" s="35"/>
    </row>
    <row r="508" customFormat="false" ht="21.75" hidden="false" customHeight="true" outlineLevel="0" collapsed="false">
      <c r="B508" s="20" t="s">
        <v>37</v>
      </c>
      <c r="C508" s="20"/>
      <c r="D508" s="20"/>
      <c r="E508" s="34" t="n">
        <f aca="false">SUM(E4:E503)</f>
        <v>0</v>
      </c>
      <c r="F508" s="34"/>
      <c r="G508" s="34"/>
    </row>
  </sheetData>
  <mergeCells count="9">
    <mergeCell ref="B1:G1"/>
    <mergeCell ref="B2:G2"/>
    <mergeCell ref="B505:G505"/>
    <mergeCell ref="B506:D506"/>
    <mergeCell ref="E506:G506"/>
    <mergeCell ref="B507:D507"/>
    <mergeCell ref="E507:G507"/>
    <mergeCell ref="B508:D508"/>
    <mergeCell ref="E508:G508"/>
  </mergeCells>
  <dataValidations count="2">
    <dataValidation allowBlank="false" errorStyle="stop" operator="between" showDropDown="false" showErrorMessage="false" showInputMessage="false" sqref="D4:D503" type="list">
      <formula1>"Rent,Salary / Bonus,Transport,Airtime / Data,Packaging,Utilities (Light/Water),Bank Charges,Food / Refreshment,Miscellaneous"</formula1>
      <formula2>0</formula2>
    </dataValidation>
    <dataValidation allowBlank="false" errorStyle="stop" operator="between" showDropDown="false" showErrorMessage="false" showInputMessage="false" sqref="F4:F503" type="list">
      <formula1>"Cash,Transfer,POS"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B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3"/>
  </cols>
  <sheetData>
    <row r="1" customFormat="false" ht="37.5" hidden="false" customHeight="true" outlineLevel="0" collapsed="false">
      <c r="B1" s="36" t="s">
        <v>38</v>
      </c>
      <c r="C1" s="36"/>
    </row>
    <row r="2" customFormat="false" ht="24" hidden="false" customHeight="true" outlineLevel="0" collapsed="false">
      <c r="B2" s="37" t="s">
        <v>39</v>
      </c>
      <c r="C2" s="37" t="s">
        <v>40</v>
      </c>
    </row>
    <row r="3" customFormat="false" ht="39.75" hidden="false" customHeight="true" outlineLevel="0" collapsed="false">
      <c r="B3" s="38" t="s">
        <v>41</v>
      </c>
      <c r="C3" s="39" t="s">
        <v>42</v>
      </c>
    </row>
    <row r="4" customFormat="false" ht="39.75" hidden="false" customHeight="true" outlineLevel="0" collapsed="false">
      <c r="B4" s="40" t="s">
        <v>43</v>
      </c>
      <c r="C4" s="41" t="s">
        <v>44</v>
      </c>
    </row>
    <row r="5" customFormat="false" ht="39.75" hidden="false" customHeight="true" outlineLevel="0" collapsed="false">
      <c r="B5" s="38" t="s">
        <v>45</v>
      </c>
      <c r="C5" s="39" t="s">
        <v>46</v>
      </c>
    </row>
    <row r="6" customFormat="false" ht="39.75" hidden="false" customHeight="true" outlineLevel="0" collapsed="false">
      <c r="B6" s="40" t="s">
        <v>47</v>
      </c>
      <c r="C6" s="41" t="s">
        <v>48</v>
      </c>
    </row>
    <row r="7" customFormat="false" ht="39.75" hidden="false" customHeight="true" outlineLevel="0" collapsed="false">
      <c r="B7" s="38" t="s">
        <v>49</v>
      </c>
      <c r="C7" s="39" t="s">
        <v>50</v>
      </c>
    </row>
    <row r="8" customFormat="false" ht="39.75" hidden="false" customHeight="true" outlineLevel="0" collapsed="false">
      <c r="B8" s="40" t="s">
        <v>51</v>
      </c>
      <c r="C8" s="41" t="s">
        <v>52</v>
      </c>
    </row>
    <row r="9" customFormat="false" ht="39.75" hidden="false" customHeight="true" outlineLevel="0" collapsed="false">
      <c r="B9" s="38" t="s">
        <v>53</v>
      </c>
      <c r="C9" s="39" t="s">
        <v>54</v>
      </c>
    </row>
    <row r="10" customFormat="false" ht="39.75" hidden="false" customHeight="true" outlineLevel="0" collapsed="false">
      <c r="B10" s="40" t="s">
        <v>55</v>
      </c>
      <c r="C10" s="41" t="s">
        <v>56</v>
      </c>
    </row>
    <row r="11" customFormat="false" ht="39.75" hidden="false" customHeight="true" outlineLevel="0" collapsed="false">
      <c r="B11" s="38"/>
      <c r="C11" s="39"/>
    </row>
    <row r="12" customFormat="false" ht="24" hidden="false" customHeight="true" outlineLevel="0" collapsed="false">
      <c r="B12" s="42" t="s">
        <v>57</v>
      </c>
      <c r="C12" s="42" t="s">
        <v>40</v>
      </c>
    </row>
    <row r="13" customFormat="false" ht="39.75" hidden="false" customHeight="true" outlineLevel="0" collapsed="false">
      <c r="B13" s="38" t="s">
        <v>58</v>
      </c>
      <c r="C13" s="39" t="s">
        <v>59</v>
      </c>
    </row>
    <row r="14" customFormat="false" ht="39.75" hidden="false" customHeight="true" outlineLevel="0" collapsed="false">
      <c r="B14" s="40" t="s">
        <v>60</v>
      </c>
      <c r="C14" s="41" t="s">
        <v>61</v>
      </c>
    </row>
    <row r="15" customFormat="false" ht="39.75" hidden="false" customHeight="true" outlineLevel="0" collapsed="false">
      <c r="B15" s="38" t="s">
        <v>62</v>
      </c>
      <c r="C15" s="39" t="s">
        <v>63</v>
      </c>
    </row>
    <row r="16" customFormat="false" ht="39.75" hidden="false" customHeight="true" outlineLevel="0" collapsed="false">
      <c r="B16" s="40" t="s">
        <v>64</v>
      </c>
      <c r="C16" s="41" t="s">
        <v>65</v>
      </c>
    </row>
    <row r="17" customFormat="false" ht="39.75" hidden="false" customHeight="true" outlineLevel="0" collapsed="false">
      <c r="B17" s="38" t="s">
        <v>66</v>
      </c>
      <c r="C17" s="39" t="s">
        <v>67</v>
      </c>
    </row>
    <row r="18" customFormat="false" ht="39.75" hidden="false" customHeight="true" outlineLevel="0" collapsed="false">
      <c r="B18" s="40"/>
      <c r="C18" s="41"/>
    </row>
    <row r="19" customFormat="false" ht="24" hidden="false" customHeight="true" outlineLevel="0" collapsed="false">
      <c r="B19" s="43" t="s">
        <v>68</v>
      </c>
      <c r="C19" s="43" t="s">
        <v>69</v>
      </c>
    </row>
    <row r="20" customFormat="false" ht="39.75" hidden="false" customHeight="true" outlineLevel="0" collapsed="false">
      <c r="B20" s="40" t="s">
        <v>70</v>
      </c>
      <c r="C20" s="41" t="s">
        <v>71</v>
      </c>
    </row>
    <row r="21" customFormat="false" ht="39.75" hidden="false" customHeight="true" outlineLevel="0" collapsed="false">
      <c r="B21" s="38" t="s">
        <v>72</v>
      </c>
      <c r="C21" s="39" t="s">
        <v>73</v>
      </c>
    </row>
    <row r="22" customFormat="false" ht="39.75" hidden="false" customHeight="true" outlineLevel="0" collapsed="false">
      <c r="B22" s="40" t="s">
        <v>74</v>
      </c>
      <c r="C22" s="41" t="s">
        <v>75</v>
      </c>
    </row>
    <row r="23" customFormat="false" ht="39.75" hidden="false" customHeight="true" outlineLevel="0" collapsed="false">
      <c r="B23" s="38" t="s">
        <v>76</v>
      </c>
      <c r="C23" s="39" t="s">
        <v>77</v>
      </c>
    </row>
    <row r="24" customFormat="false" ht="39.75" hidden="false" customHeight="true" outlineLevel="0" collapsed="false">
      <c r="B24" s="40" t="s">
        <v>78</v>
      </c>
      <c r="C24" s="41" t="s">
        <v>79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2026-03-08T13:58:34Z</dcterms:created>
  <dc:creator>openpyxl</dc:creator>
  <dc:description/>
  <dc:language>en-US</dc:language>
  <cp:lastModifiedBy/>
  <dcterms:modified xsi:type="dcterms:W3CDTF">2026-03-08T13:58:35Z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