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📦 INVENTORY" sheetId="2" state="visible" r:id="rId4"/>
    <sheet name="💰 DAILY SALES" sheetId="3" state="visible" r:id="rId5"/>
    <sheet name="📥 STOCK IN" sheetId="4" state="visible" r:id="rId6"/>
    <sheet name="💸 EXPENSES" sheetId="5" state="visible" r:id="rId7"/>
    <sheet name="📈 PROFIT &amp; LOSS" sheetId="6" state="visible" r:id="rId8"/>
    <sheet name="📋 HOW TO US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<sst xmlns="http://schemas.openxmlformats.org/spreadsheetml/2006/main" count="148" uniqueCount="128">
  <si>
    <t xml:space="preserve">ACETRUE TECHNOLOGIES</t>
  </si>
  <si>
    <t xml:space="preserve">📱 Electronics &amp; Accessories — Daily Operations Tracker</t>
  </si>
  <si>
    <t xml:space="preserve">💰  TODAY'S REVENUE</t>
  </si>
  <si>
    <t xml:space="preserve">🛒  ITEMS SOLD TODAY</t>
  </si>
  <si>
    <t xml:space="preserve">📦  TOTAL INVENTORY VALUE</t>
  </si>
  <si>
    <t xml:space="preserve">⚠️  LOW STOCK ALERTS</t>
  </si>
  <si>
    <t xml:space="preserve">Product</t>
  </si>
  <si>
    <t xml:space="preserve">Current Stock</t>
  </si>
  <si>
    <t xml:space="preserve">Reorder Level</t>
  </si>
  <si>
    <t xml:space="preserve">Units Needed</t>
  </si>
  <si>
    <t xml:space="preserve">Status</t>
  </si>
  <si>
    <t xml:space="preserve">📅  THIS MONTH'S REVENUE BY PRODUCT</t>
  </si>
  <si>
    <t xml:space="preserve">Units Sold</t>
  </si>
  <si>
    <t xml:space="preserve">Revenue (₦)</t>
  </si>
  <si>
    <t xml:space="preserve">Avg Unit Price</t>
  </si>
  <si>
    <t xml:space="preserve">EarPods</t>
  </si>
  <si>
    <t xml:space="preserve">Button Phone</t>
  </si>
  <si>
    <t xml:space="preserve">Memory Card</t>
  </si>
  <si>
    <t xml:space="preserve">Charger</t>
  </si>
  <si>
    <t xml:space="preserve">Tripod Stand</t>
  </si>
  <si>
    <t xml:space="preserve">Selfie Stick</t>
  </si>
  <si>
    <t xml:space="preserve">Cables</t>
  </si>
  <si>
    <t xml:space="preserve">Ringlight</t>
  </si>
  <si>
    <t xml:space="preserve">Speakers</t>
  </si>
  <si>
    <t xml:space="preserve">Wireless Mic</t>
  </si>
  <si>
    <t xml:space="preserve">Mouse</t>
  </si>
  <si>
    <t xml:space="preserve">Powerbanks</t>
  </si>
  <si>
    <t xml:space="preserve">Smartwatch</t>
  </si>
  <si>
    <t xml:space="preserve">TOTAL</t>
  </si>
  <si>
    <t xml:space="preserve">📦  INVENTORY MANAGEMENT — ACETRUE TECHNOLOGIES</t>
  </si>
  <si>
    <t xml:space="preserve">Opening
Stock</t>
  </si>
  <si>
    <t xml:space="preserve">Stock In
(Purchased)</t>
  </si>
  <si>
    <t xml:space="preserve">Stock Sold
(All Time)</t>
  </si>
  <si>
    <t xml:space="preserve">💀 Damaged /
Adjust</t>
  </si>
  <si>
    <t xml:space="preserve">Current
Stock</t>
  </si>
  <si>
    <t xml:space="preserve">Reorder
Level</t>
  </si>
  <si>
    <t xml:space="preserve">Cost Price
(₦)</t>
  </si>
  <si>
    <t xml:space="preserve">Selling Price
(₦)</t>
  </si>
  <si>
    <t xml:space="preserve">Stock Value
(₦)</t>
  </si>
  <si>
    <t xml:space="preserve">TOTAL / SUMMARY</t>
  </si>
  <si>
    <t xml:space="preserve">📘  HOW TO USE THIS SHEET</t>
  </si>
  <si>
    <t xml:space="preserve">🔵 Blue text cells = INPUT CELLS — you can edit these directly (Opening Stock, Reorder Level, Cost &amp; Selling Prices).</t>
  </si>
  <si>
    <t xml:space="preserve">⚙️  'Stock In' auto-calculates from the 📥 STOCK IN sheet. 'Stock Sold' auto-calculates from 💰 DAILY SALES.</t>
  </si>
  <si>
    <t xml:space="preserve">💀 'Damaged/Adjust' column: Enter positive numbers for damaged/lost/returned items that reduce stock.</t>
  </si>
  <si>
    <t xml:space="preserve">🔴 Red rows = Below reorder level (URGENT: Restock!).  🟡 Yellow = Low (approaching reorder).  🟢 = OK.</t>
  </si>
  <si>
    <t xml:space="preserve">📌 IMPORTANT: Change Opening Stock only ONCE when you first set up. After that, all changes go through STOCK IN or DAILY SALES.</t>
  </si>
  <si>
    <t xml:space="preserve">💰  DAILY SALES LOG — ACETRUE TECHNOLOGIES</t>
  </si>
  <si>
    <t xml:space="preserve">Date</t>
  </si>
  <si>
    <t xml:space="preserve">Day</t>
  </si>
  <si>
    <t xml:space="preserve">Variant / Note</t>
  </si>
  <si>
    <t xml:space="preserve">Qty
Sold</t>
  </si>
  <si>
    <t xml:space="preserve">Unit Price
(₦)</t>
  </si>
  <si>
    <t xml:space="preserve">Total
(₦)</t>
  </si>
  <si>
    <t xml:space="preserve">Payment
Method</t>
  </si>
  <si>
    <t xml:space="preserve">Recorded
By</t>
  </si>
  <si>
    <t xml:space="preserve">📊  TOTALS SUMMARY</t>
  </si>
  <si>
    <t xml:space="preserve">Total Revenue (All Time)</t>
  </si>
  <si>
    <t xml:space="preserve">Total Units Sold (All Time)</t>
  </si>
  <si>
    <t xml:space="preserve">Revenue Today</t>
  </si>
  <si>
    <t xml:space="preserve">Revenue This Month</t>
  </si>
  <si>
    <t xml:space="preserve">Cash Sales Today</t>
  </si>
  <si>
    <t xml:space="preserve">POS Sales Today</t>
  </si>
  <si>
    <t xml:space="preserve">Transfer Sales Today</t>
  </si>
  <si>
    <t xml:space="preserve">📥  STOCK IN — PURCHASE &amp; RESTOCK LOG</t>
  </si>
  <si>
    <t xml:space="preserve">Qty Received</t>
  </si>
  <si>
    <t xml:space="preserve">Unit Cost
(₦)</t>
  </si>
  <si>
    <t xml:space="preserve">Total Cost
(₦)</t>
  </si>
  <si>
    <t xml:space="preserve">Supplier Name</t>
  </si>
  <si>
    <t xml:space="preserve">Invoice/Receipt No.</t>
  </si>
  <si>
    <t xml:space="preserve">Notes</t>
  </si>
  <si>
    <t xml:space="preserve">TOTAL PURCHASE COST (All Time)</t>
  </si>
  <si>
    <t xml:space="preserve">💸  BUSINESS EXPENSES LOG</t>
  </si>
  <si>
    <t xml:space="preserve">Description</t>
  </si>
  <si>
    <t xml:space="preserve">Category</t>
  </si>
  <si>
    <t xml:space="preserve">Amount (₦)</t>
  </si>
  <si>
    <t xml:space="preserve">Payment Method</t>
  </si>
  <si>
    <t xml:space="preserve">TOTAL EXPENSES (All Time)</t>
  </si>
  <si>
    <t xml:space="preserve">📈  PROFIT &amp; LOSS — ACETRUE TECHNOLOGIES</t>
  </si>
  <si>
    <t xml:space="preserve">Auto-calculated from Sales, Stock In, and Expenses sheets</t>
  </si>
  <si>
    <t xml:space="preserve">INCOME</t>
  </si>
  <si>
    <t xml:space="preserve">Total Sales Revenue</t>
  </si>
  <si>
    <t xml:space="preserve">COST OF GOODS SOLD (COGS)</t>
  </si>
  <si>
    <t xml:space="preserve">Total Stock Purchased</t>
  </si>
  <si>
    <t xml:space="preserve">GROSS PROFIT</t>
  </si>
  <si>
    <t xml:space="preserve">Gross Margin %</t>
  </si>
  <si>
    <t xml:space="preserve">OPERATING EXPENSES</t>
  </si>
  <si>
    <t xml:space="preserve">Total Expenses</t>
  </si>
  <si>
    <t xml:space="preserve">NET PROFIT</t>
  </si>
  <si>
    <t xml:space="preserve">Net Margin %</t>
  </si>
  <si>
    <t xml:space="preserve">📋  HOW TO USE — ACETRUE TECHNOLOGIES TRACKER</t>
  </si>
  <si>
    <t xml:space="preserve">SHEET</t>
  </si>
  <si>
    <t xml:space="preserve">WHAT IT DOES &amp; HOW TO USE IT</t>
  </si>
  <si>
    <t xml:space="preserve">📊 DASHBOARD</t>
  </si>
  <si>
    <t xml:space="preserve">Your command centre. Open this every morning to see your current stock status, today's revenue, and which products need restocking. You don't type anything here — it auto-updates.</t>
  </si>
  <si>
    <t xml:space="preserve">📦 INVENTORY</t>
  </si>
  <si>
    <t xml:space="preserve">The master stock list. FIRST TIME SETUP: Enter the correct Opening Stock (column C), Cost Price (column I), Selling Price (column J), and Reorder Level (column H) for each product. After setup, this sheet auto-updates itself from sales and stock-in entries.</t>
  </si>
  <si>
    <t xml:space="preserve">💰 DAILY SALES</t>
  </si>
  <si>
    <t xml:space="preserve">Your sales girl uses this EVERY TIME she makes a sale. Steps: (1) Enter today's Date in column B. (2) Click column D and choose the Product from the dropdown. (3) Enter the Quantity sold in column F. The Unit Price auto-fills! (4) Column H (Total) calculates automatically. (5) Choose Payment Method (Cash/POS/Transfer). (6) Enter her name in 'Recorded By'.</t>
  </si>
  <si>
    <t xml:space="preserve">📥 STOCK IN</t>
  </si>
  <si>
    <t xml:space="preserve">Use this sheet whenever you receive new stock from your supplier. Enter: Date, Product (dropdown), Qty Received, Unit Cost per item. The Total Cost calculates automatically. Also enter the Supplier name and invoice number for record-keeping.</t>
  </si>
  <si>
    <t xml:space="preserve">💸 EXPENSES</t>
  </si>
  <si>
    <t xml:space="preserve">Log ALL business expenses here daily. This includes: rent, transport to get stock, data subscriptions, salaries, bank charges, packaging, etc. Choose a Category from the dropdown.</t>
  </si>
  <si>
    <t xml:space="preserve">📈 PROFIT &amp; LOSS</t>
  </si>
  <si>
    <t xml:space="preserve">Automatically shows your total revenue, cost of goods, expenses, gross profit, net profit, and margins. Check this weekly or monthly to understand how your business is performing.</t>
  </si>
  <si>
    <t xml:space="preserve">DAILY ROUTINE</t>
  </si>
  <si>
    <t xml:space="preserve">RECOMMENDED DAILY WORKFLOW</t>
  </si>
  <si>
    <t xml:space="preserve">Morning</t>
  </si>
  <si>
    <t xml:space="preserve">1. Open 📊 DASHBOARD — check stock levels and reorder alerts.</t>
  </si>
  <si>
    <t xml:space="preserve">During the day</t>
  </si>
  <si>
    <t xml:space="preserve">2. Sales girl logs every sale in 💰 DAILY SALES as it happens.</t>
  </si>
  <si>
    <t xml:space="preserve">When stock arrives</t>
  </si>
  <si>
    <t xml:space="preserve">3. Log new stock in 📥 STOCK IN immediately.</t>
  </si>
  <si>
    <t xml:space="preserve">End of day</t>
  </si>
  <si>
    <t xml:space="preserve">4. Log any business expenses in 💸 EXPENSES.</t>
  </si>
  <si>
    <t xml:space="preserve">Weekly</t>
  </si>
  <si>
    <t xml:space="preserve">5. Review 📈 PROFIT &amp; LOSS to see if the business is making money.</t>
  </si>
  <si>
    <t xml:space="preserve">TIPS &amp; TRICKS</t>
  </si>
  <si>
    <t xml:space="preserve">USEFUL TIPS</t>
  </si>
  <si>
    <t xml:space="preserve">Dropdowns</t>
  </si>
  <si>
    <t xml:space="preserve">Columns with dropdowns (Product, Payment Method, Category) will show a small arrow when you click the cell. Click the arrow to see the options.</t>
  </si>
  <si>
    <t xml:space="preserve">Prices</t>
  </si>
  <si>
    <t xml:space="preserve">If a product's selling price changes, update it once in 📦 INVENTORY column J — it will auto-fill in all future sales entries.</t>
  </si>
  <si>
    <t xml:space="preserve">Damaged Goods</t>
  </si>
  <si>
    <t xml:space="preserve">If any product is lost, damaged, or returned, enter the quantity in the 'Damaged/Adjust' column (F) on the 📦 INVENTORY sheet.</t>
  </si>
  <si>
    <t xml:space="preserve">Backup</t>
  </si>
  <si>
    <t xml:space="preserve">Save a copy of this file to Google Drive or a USB every week as a backup.</t>
  </si>
  <si>
    <t xml:space="preserve">New Products</t>
  </si>
  <si>
    <t xml:space="preserve">To add a new product, add a new row in 📦 INVENTORY and update the product dropdown list in the Data Validation settings.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</si>
</sst>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₦#,##0;&quot;(₦&quot;#,##0\);\-"/>
    <numFmt numFmtId="166" formatCode="#,##0;\(#,##0\);\-"/>
    <numFmt numFmtId="167" formatCode="dd\-mmm\-yyyy"/>
    <numFmt numFmtId="168" formatCode="0.0%;\(0.0%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i val="true"/>
      <sz val="9"/>
      <color rgb="FF1B3A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CC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i val="true"/>
      <sz val="9"/>
      <color rgb="FF2E6DB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2E6DB4"/>
        <bgColor rgb="FF0066CC"/>
      </patternFill>
    </fill>
    <fill>
      <patternFill patternType="solid">
        <fgColor rgb="FFEBF4FF"/>
        <bgColor rgb="FFF2F2F2"/>
      </patternFill>
    </fill>
    <fill>
      <patternFill patternType="solid">
        <fgColor rgb="FFE8640A"/>
        <bgColor rgb="FFC0392B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4FF"/>
      </patternFill>
    </fill>
    <fill>
      <patternFill patternType="solid">
        <fgColor rgb="FFD6E8FA"/>
        <bgColor rgb="FFD5F5E3"/>
      </patternFill>
    </fill>
    <fill>
      <patternFill patternType="solid">
        <fgColor rgb="FF1E8449"/>
        <bgColor rgb="FF008080"/>
      </patternFill>
    </fill>
    <fill>
      <patternFill patternType="solid">
        <fgColor rgb="FFC0392B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C0392B"/>
      </font>
      <fill>
        <patternFill>
          <bgColor rgb="FFFADBD8"/>
        </patternFill>
      </fill>
    </dxf>
    <dxf>
      <font>
        <b val="1"/>
        <color rgb="FF7D6608"/>
      </font>
      <fill>
        <patternFill>
          <bgColor rgb="FFFFF3CD"/>
        </patternFill>
      </fill>
    </dxf>
    <dxf>
      <font>
        <b val="1"/>
        <color rgb="FF1E8449"/>
      </font>
      <fill>
        <patternFill>
          <bgColor rgb="FFD5F5E3"/>
        </patternFill>
      </fill>
    </dxf>
  </dxfs>
  <colors>
    <indexedColors>
      <rgbColor rgb="FF000000"/>
      <rgbColor rgb="FFFFFFFF"/>
      <rgbColor rgb="FFCC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BFBFBF"/>
      <rgbColor rgb="FF808080"/>
      <rgbColor rgb="FF9999FF"/>
      <rgbColor rgb="FF7D3C98"/>
      <rgbColor rgb="FFFFF3CD"/>
      <rgbColor rgb="FFD6E8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F"/>
      <rgbColor rgb="FFD5F5E3"/>
      <rgbColor rgb="FFF2F2F2"/>
      <rgbColor rgb="FF99CCFF"/>
      <rgbColor rgb="FFFF99CC"/>
      <rgbColor rgb="FFCC99FF"/>
      <rgbColor rgb="FFFADBD8"/>
      <rgbColor rgb="FF2E6DB4"/>
      <rgbColor rgb="FF33CCCC"/>
      <rgbColor rgb="FF99CC00"/>
      <rgbColor rgb="FFFFCC00"/>
      <rgbColor rgb="FFFF9900"/>
      <rgbColor rgb="FFE8640A"/>
      <rgbColor rgb="FF666699"/>
      <rgbColor rgb="FF969696"/>
      <rgbColor rgb="FF1B3A5C"/>
      <rgbColor rgb="FF1E8449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B1:G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7" min="3" style="1" width="18"/>
    <col collapsed="false" customWidth="true" hidden="false" outlineLevel="0" max="8" min="8" style="1" width="4"/>
  </cols>
  <sheetData>
    <row r="1" customFormat="false" ht="37.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24" hidden="false" customHeight="true" outlineLevel="0" collapsed="false">
      <c r="B2" s="3" t="s">
        <v>1</v>
      </c>
      <c r="C2" s="3"/>
      <c r="D2" s="3"/>
      <c r="E2" s="3"/>
      <c r="F2" s="3"/>
      <c r="G2" s="3"/>
    </row>
    <row r="3" customFormat="false" ht="15.75" hidden="false" customHeight="true" outlineLevel="0" collapsed="false">
      <c r="B3" s="4" t="str">
        <f aca="true">CONCATENATE("Last Refreshed: ",TEXT(NOW(),"DD-MMM-YYYY  HH:MM AM/PM"))</f>
        <v>Last Refreshed: 08-Mar-2026  01:33 PM</v>
      </c>
      <c r="C3" s="4"/>
      <c r="D3" s="4"/>
      <c r="E3" s="4"/>
      <c r="F3" s="4"/>
      <c r="G3" s="4"/>
    </row>
    <row r="4" customFormat="false" ht="21.75" hidden="false" customHeight="true" outlineLevel="0" collapsed="false">
      <c r="B4" s="5" t="s">
        <v>2</v>
      </c>
      <c r="C4" s="5"/>
      <c r="D4" s="5" t="s">
        <v>3</v>
      </c>
      <c r="E4" s="5"/>
      <c r="F4" s="5" t="s">
        <v>4</v>
      </c>
      <c r="G4" s="5"/>
    </row>
    <row r="5" customFormat="false" ht="30" hidden="false" customHeight="true" outlineLevel="0" collapsed="false">
      <c r="B5" s="6" t="n">
        <f aca="true">SUMIF('💰 DAILY SALES'!B:B,TODAY(),'💰 DAILY SALES'!G:G)</f>
        <v>0</v>
      </c>
      <c r="C5" s="6"/>
      <c r="D5" s="7" t="n">
        <f aca="true">SUMIF('💰 DAILY SALES'!B:B,TODAY(),'💰 DAILY SALES'!F:F)</f>
        <v>0</v>
      </c>
      <c r="E5" s="7"/>
      <c r="F5" s="6" t="n">
        <f aca="false">SUMPRODUCT('📦 INVENTORY'!G3:G15,'📦 INVENTORY'!I3:I15)</f>
        <v>303600</v>
      </c>
      <c r="G5" s="6"/>
    </row>
    <row r="6" customFormat="false" ht="7.5" hidden="false" customHeight="true" outlineLevel="0" collapsed="false"/>
    <row r="7" customFormat="false" ht="21.75" hidden="false" customHeight="true" outlineLevel="0" collapsed="false">
      <c r="B7" s="8" t="s">
        <v>5</v>
      </c>
      <c r="C7" s="8"/>
      <c r="D7" s="8"/>
      <c r="E7" s="8"/>
      <c r="F7" s="8"/>
      <c r="G7" s="8"/>
    </row>
    <row r="8" customFormat="false" ht="19.5" hidden="false" customHeight="true" outlineLevel="0" collapsed="false">
      <c r="B8" s="9" t="s">
        <v>6</v>
      </c>
      <c r="C8" s="9" t="s">
        <v>7</v>
      </c>
      <c r="D8" s="9" t="s">
        <v>8</v>
      </c>
      <c r="E8" s="9" t="s">
        <v>9</v>
      </c>
      <c r="F8" s="9" t="s">
        <v>10</v>
      </c>
    </row>
    <row r="9" customFormat="false" ht="18" hidden="false" customHeight="true" outlineLevel="0" collapsed="false">
      <c r="B9" s="10" t="str">
        <f aca="false">'📦 INVENTORY'!B3</f>
        <v>EarPods</v>
      </c>
      <c r="C9" s="11" t="n">
        <f aca="false">'📦 INVENTORY'!G3</f>
        <v>20</v>
      </c>
      <c r="D9" s="11" t="n">
        <f aca="false">'📦 INVENTORY'!H3</f>
        <v>5</v>
      </c>
      <c r="E9" s="11" t="n">
        <f aca="false">MAX(0,'📦 INVENTORY'!H3-'📦 INVENTORY'!G3)</f>
        <v>0</v>
      </c>
      <c r="F9" s="12" t="str">
        <f aca="false">IF('📦 INVENTORY'!G3&lt;='📦 INVENTORY'!H3,"🔴 REORDER NOW",IF('📦 INVENTORY'!G3&lt;='📦 INVENTORY'!H3*1.5,"🟡 LOW","🟢 OK"))</f>
        <v>🟢 OK</v>
      </c>
    </row>
    <row r="10" customFormat="false" ht="18" hidden="false" customHeight="true" outlineLevel="0" collapsed="false">
      <c r="B10" s="13" t="str">
        <f aca="false">'📦 INVENTORY'!B4</f>
        <v>Button Phone</v>
      </c>
      <c r="C10" s="14" t="n">
        <f aca="false">'📦 INVENTORY'!G4</f>
        <v>10</v>
      </c>
      <c r="D10" s="14" t="n">
        <f aca="false">'📦 INVENTORY'!H4</f>
        <v>3</v>
      </c>
      <c r="E10" s="14" t="n">
        <f aca="false">MAX(0,'📦 INVENTORY'!H4-'📦 INVENTORY'!G4)</f>
        <v>0</v>
      </c>
      <c r="F10" s="15" t="str">
        <f aca="false">IF('📦 INVENTORY'!G4&lt;='📦 INVENTORY'!H4,"🔴 REORDER NOW",IF('📦 INVENTORY'!G4&lt;='📦 INVENTORY'!H4*1.5,"🟡 LOW","🟢 OK"))</f>
        <v>🟢 OK</v>
      </c>
    </row>
    <row r="11" customFormat="false" ht="18" hidden="false" customHeight="true" outlineLevel="0" collapsed="false">
      <c r="B11" s="10" t="str">
        <f aca="false">'📦 INVENTORY'!B5</f>
        <v>Memory Card</v>
      </c>
      <c r="C11" s="11" t="n">
        <f aca="false">'📦 INVENTORY'!G5</f>
        <v>30</v>
      </c>
      <c r="D11" s="11" t="n">
        <f aca="false">'📦 INVENTORY'!H5</f>
        <v>10</v>
      </c>
      <c r="E11" s="11" t="n">
        <f aca="false">MAX(0,'📦 INVENTORY'!H5-'📦 INVENTORY'!G5)</f>
        <v>0</v>
      </c>
      <c r="F11" s="12" t="str">
        <f aca="false">IF('📦 INVENTORY'!G5&lt;='📦 INVENTORY'!H5,"🔴 REORDER NOW",IF('📦 INVENTORY'!G5&lt;='📦 INVENTORY'!H5*1.5,"🟡 LOW","🟢 OK"))</f>
        <v>🟢 OK</v>
      </c>
    </row>
    <row r="12" customFormat="false" ht="18" hidden="false" customHeight="true" outlineLevel="0" collapsed="false">
      <c r="B12" s="13" t="str">
        <f aca="false">'📦 INVENTORY'!B6</f>
        <v>Charger</v>
      </c>
      <c r="C12" s="14" t="n">
        <f aca="false">'📦 INVENTORY'!G6</f>
        <v>25</v>
      </c>
      <c r="D12" s="14" t="n">
        <f aca="false">'📦 INVENTORY'!H6</f>
        <v>8</v>
      </c>
      <c r="E12" s="14" t="n">
        <f aca="false">MAX(0,'📦 INVENTORY'!H6-'📦 INVENTORY'!G6)</f>
        <v>0</v>
      </c>
      <c r="F12" s="15" t="str">
        <f aca="false">IF('📦 INVENTORY'!G6&lt;='📦 INVENTORY'!H6,"🔴 REORDER NOW",IF('📦 INVENTORY'!G6&lt;='📦 INVENTORY'!H6*1.5,"🟡 LOW","🟢 OK"))</f>
        <v>🟢 OK</v>
      </c>
    </row>
    <row r="13" customFormat="false" ht="18" hidden="false" customHeight="true" outlineLevel="0" collapsed="false">
      <c r="B13" s="10" t="str">
        <f aca="false">'📦 INVENTORY'!B7</f>
        <v>Tripod Stand</v>
      </c>
      <c r="C13" s="11" t="n">
        <f aca="false">'📦 INVENTORY'!G7</f>
        <v>8</v>
      </c>
      <c r="D13" s="11" t="n">
        <f aca="false">'📦 INVENTORY'!H7</f>
        <v>3</v>
      </c>
      <c r="E13" s="11" t="n">
        <f aca="false">MAX(0,'📦 INVENTORY'!H7-'📦 INVENTORY'!G7)</f>
        <v>0</v>
      </c>
      <c r="F13" s="12" t="str">
        <f aca="false">IF('📦 INVENTORY'!G7&lt;='📦 INVENTORY'!H7,"🔴 REORDER NOW",IF('📦 INVENTORY'!G7&lt;='📦 INVENTORY'!H7*1.5,"🟡 LOW","🟢 OK"))</f>
        <v>🟢 OK</v>
      </c>
    </row>
    <row r="14" customFormat="false" ht="18" hidden="false" customHeight="true" outlineLevel="0" collapsed="false">
      <c r="B14" s="13" t="str">
        <f aca="false">'📦 INVENTORY'!B8</f>
        <v>Selfie Stick</v>
      </c>
      <c r="C14" s="14" t="n">
        <f aca="false">'📦 INVENTORY'!G8</f>
        <v>10</v>
      </c>
      <c r="D14" s="14" t="n">
        <f aca="false">'📦 INVENTORY'!H8</f>
        <v>3</v>
      </c>
      <c r="E14" s="14" t="n">
        <f aca="false">MAX(0,'📦 INVENTORY'!H8-'📦 INVENTORY'!G8)</f>
        <v>0</v>
      </c>
      <c r="F14" s="15" t="str">
        <f aca="false">IF('📦 INVENTORY'!G8&lt;='📦 INVENTORY'!H8,"🔴 REORDER NOW",IF('📦 INVENTORY'!G8&lt;='📦 INVENTORY'!H8*1.5,"🟡 LOW","🟢 OK"))</f>
        <v>🟢 OK</v>
      </c>
    </row>
    <row r="15" customFormat="false" ht="18" hidden="false" customHeight="true" outlineLevel="0" collapsed="false">
      <c r="B15" s="10" t="str">
        <f aca="false">'📦 INVENTORY'!B9</f>
        <v>Cables</v>
      </c>
      <c r="C15" s="11" t="n">
        <f aca="false">'📦 INVENTORY'!G9</f>
        <v>40</v>
      </c>
      <c r="D15" s="11" t="n">
        <f aca="false">'📦 INVENTORY'!H9</f>
        <v>15</v>
      </c>
      <c r="E15" s="11" t="n">
        <f aca="false">MAX(0,'📦 INVENTORY'!H9-'📦 INVENTORY'!G9)</f>
        <v>0</v>
      </c>
      <c r="F15" s="12" t="str">
        <f aca="false">IF('📦 INVENTORY'!G9&lt;='📦 INVENTORY'!H9,"🔴 REORDER NOW",IF('📦 INVENTORY'!G9&lt;='📦 INVENTORY'!H9*1.5,"🟡 LOW","🟢 OK"))</f>
        <v>🟢 OK</v>
      </c>
    </row>
    <row r="16" customFormat="false" ht="18" hidden="false" customHeight="true" outlineLevel="0" collapsed="false">
      <c r="B16" s="13" t="str">
        <f aca="false">'📦 INVENTORY'!B10</f>
        <v>Ringlight</v>
      </c>
      <c r="C16" s="14" t="n">
        <f aca="false">'📦 INVENTORY'!G10</f>
        <v>5</v>
      </c>
      <c r="D16" s="14" t="n">
        <f aca="false">'📦 INVENTORY'!H10</f>
        <v>2</v>
      </c>
      <c r="E16" s="14" t="n">
        <f aca="false">MAX(0,'📦 INVENTORY'!H10-'📦 INVENTORY'!G10)</f>
        <v>0</v>
      </c>
      <c r="F16" s="15" t="str">
        <f aca="false">IF('📦 INVENTORY'!G10&lt;='📦 INVENTORY'!H10,"🔴 REORDER NOW",IF('📦 INVENTORY'!G10&lt;='📦 INVENTORY'!H10*1.5,"🟡 LOW","🟢 OK"))</f>
        <v>🟢 OK</v>
      </c>
    </row>
    <row r="17" customFormat="false" ht="18" hidden="false" customHeight="true" outlineLevel="0" collapsed="false">
      <c r="B17" s="10" t="str">
        <f aca="false">'📦 INVENTORY'!B11</f>
        <v>Speakers</v>
      </c>
      <c r="C17" s="11" t="n">
        <f aca="false">'📦 INVENTORY'!G11</f>
        <v>8</v>
      </c>
      <c r="D17" s="11" t="n">
        <f aca="false">'📦 INVENTORY'!H11</f>
        <v>3</v>
      </c>
      <c r="E17" s="11" t="n">
        <f aca="false">MAX(0,'📦 INVENTORY'!H11-'📦 INVENTORY'!G11)</f>
        <v>0</v>
      </c>
      <c r="F17" s="12" t="str">
        <f aca="false">IF('📦 INVENTORY'!G11&lt;='📦 INVENTORY'!H11,"🔴 REORDER NOW",IF('📦 INVENTORY'!G11&lt;='📦 INVENTORY'!H11*1.5,"🟡 LOW","🟢 OK"))</f>
        <v>🟢 OK</v>
      </c>
    </row>
    <row r="18" customFormat="false" ht="18" hidden="false" customHeight="true" outlineLevel="0" collapsed="false">
      <c r="B18" s="13" t="str">
        <f aca="false">'📦 INVENTORY'!B12</f>
        <v>Wireless Mic</v>
      </c>
      <c r="C18" s="14" t="n">
        <f aca="false">'📦 INVENTORY'!G12</f>
        <v>6</v>
      </c>
      <c r="D18" s="14" t="n">
        <f aca="false">'📦 INVENTORY'!H12</f>
        <v>2</v>
      </c>
      <c r="E18" s="14" t="n">
        <f aca="false">MAX(0,'📦 INVENTORY'!H12-'📦 INVENTORY'!G12)</f>
        <v>0</v>
      </c>
      <c r="F18" s="15" t="str">
        <f aca="false">IF('📦 INVENTORY'!G12&lt;='📦 INVENTORY'!H12,"🔴 REORDER NOW",IF('📦 INVENTORY'!G12&lt;='📦 INVENTORY'!H12*1.5,"🟡 LOW","🟢 OK"))</f>
        <v>🟢 OK</v>
      </c>
    </row>
    <row r="19" customFormat="false" ht="18" hidden="false" customHeight="true" outlineLevel="0" collapsed="false">
      <c r="B19" s="10" t="str">
        <f aca="false">'📦 INVENTORY'!B13</f>
        <v>Mouse</v>
      </c>
      <c r="C19" s="11" t="n">
        <f aca="false">'📦 INVENTORY'!G13</f>
        <v>12</v>
      </c>
      <c r="D19" s="11" t="n">
        <f aca="false">'📦 INVENTORY'!H13</f>
        <v>4</v>
      </c>
      <c r="E19" s="11" t="n">
        <f aca="false">MAX(0,'📦 INVENTORY'!H13-'📦 INVENTORY'!G13)</f>
        <v>0</v>
      </c>
      <c r="F19" s="12" t="str">
        <f aca="false">IF('📦 INVENTORY'!G13&lt;='📦 INVENTORY'!H13,"🔴 REORDER NOW",IF('📦 INVENTORY'!G13&lt;='📦 INVENTORY'!H13*1.5,"🟡 LOW","🟢 OK"))</f>
        <v>🟢 OK</v>
      </c>
    </row>
    <row r="20" customFormat="false" ht="18" hidden="false" customHeight="true" outlineLevel="0" collapsed="false">
      <c r="B20" s="13" t="str">
        <f aca="false">'📦 INVENTORY'!B14</f>
        <v>Powerbanks</v>
      </c>
      <c r="C20" s="14" t="n">
        <f aca="false">'📦 INVENTORY'!G14</f>
        <v>10</v>
      </c>
      <c r="D20" s="14" t="n">
        <f aca="false">'📦 INVENTORY'!H14</f>
        <v>3</v>
      </c>
      <c r="E20" s="14" t="n">
        <f aca="false">MAX(0,'📦 INVENTORY'!H14-'📦 INVENTORY'!G14)</f>
        <v>0</v>
      </c>
      <c r="F20" s="15" t="str">
        <f aca="false">IF('📦 INVENTORY'!G14&lt;='📦 INVENTORY'!H14,"🔴 REORDER NOW",IF('📦 INVENTORY'!G14&lt;='📦 INVENTORY'!H14*1.5,"🟡 LOW","🟢 OK"))</f>
        <v>🟢 OK</v>
      </c>
    </row>
    <row r="21" customFormat="false" ht="18" hidden="false" customHeight="true" outlineLevel="0" collapsed="false">
      <c r="B21" s="10" t="str">
        <f aca="false">'📦 INVENTORY'!B15</f>
        <v>Smartwatch</v>
      </c>
      <c r="C21" s="11" t="n">
        <f aca="false">'📦 INVENTORY'!G15</f>
        <v>7</v>
      </c>
      <c r="D21" s="11" t="n">
        <f aca="false">'📦 INVENTORY'!H15</f>
        <v>2</v>
      </c>
      <c r="E21" s="11" t="n">
        <f aca="false">MAX(0,'📦 INVENTORY'!H15-'📦 INVENTORY'!G15)</f>
        <v>0</v>
      </c>
      <c r="F21" s="12" t="str">
        <f aca="false">IF('📦 INVENTORY'!G15&lt;='📦 INVENTORY'!H15,"🔴 REORDER NOW",IF('📦 INVENTORY'!G15&lt;='📦 INVENTORY'!H15*1.5,"🟡 LOW","🟢 OK"))</f>
        <v>🟢 OK</v>
      </c>
    </row>
    <row r="22" customFormat="false" ht="18" hidden="false" customHeight="true" outlineLevel="0" collapsed="false"/>
    <row r="23" customFormat="false" ht="7.5" hidden="false" customHeight="true" outlineLevel="0" collapsed="false"/>
    <row r="24" customFormat="false" ht="21.75" hidden="false" customHeight="true" outlineLevel="0" collapsed="false">
      <c r="B24" s="16" t="s">
        <v>11</v>
      </c>
      <c r="C24" s="16"/>
      <c r="D24" s="16"/>
      <c r="E24" s="16"/>
      <c r="F24" s="16"/>
      <c r="G24" s="16"/>
    </row>
    <row r="25" customFormat="false" ht="19.5" hidden="false" customHeight="true" outlineLevel="0" collapsed="false">
      <c r="B25" s="9" t="s">
        <v>6</v>
      </c>
      <c r="C25" s="9" t="s">
        <v>12</v>
      </c>
      <c r="D25" s="9" t="s">
        <v>13</v>
      </c>
      <c r="E25" s="9" t="s">
        <v>14</v>
      </c>
    </row>
    <row r="26" customFormat="false" ht="18" hidden="false" customHeight="true" outlineLevel="0" collapsed="false">
      <c r="B26" s="13" t="s">
        <v>15</v>
      </c>
      <c r="C26" s="14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SALES'!D$2:D$5000="EarPods")*IF(ISNUMBER('💰 DAILY SALES'!F$2:F$5000),'💰 DAILY SALES'!F$2:F$5000,0))</f>
        <v>0</v>
      </c>
      <c r="D26" s="17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SALES'!D$2:D$5000="EarPods")*IF(ISNUMBER('💰 DAILY SALES'!G$2:G$5000),'💰 DAILY SALES'!G$2:G$5000,0))</f>
        <v>0</v>
      </c>
      <c r="E26" s="17" t="str">
        <f aca="false">IFERROR(D26/C26,"-")</f>
        <v>-</v>
      </c>
    </row>
    <row r="27" customFormat="false" ht="18" hidden="false" customHeight="true" outlineLevel="0" collapsed="false">
      <c r="B27" s="10" t="s">
        <v>16</v>
      </c>
      <c r="C27" s="11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SALES'!D$2:D$5000="Button Phone")*IF(ISNUMBER('💰 DAILY SALES'!F$2:F$5000),'💰 DAILY SALES'!F$2:F$5000,0))</f>
        <v>0</v>
      </c>
      <c r="D27" s="18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SALES'!D$2:D$5000="Button Phone")*IF(ISNUMBER('💰 DAILY SALES'!G$2:G$5000),'💰 DAILY SALES'!G$2:G$5000,0))</f>
        <v>0</v>
      </c>
      <c r="E27" s="18" t="str">
        <f aca="false">IFERROR(D27/C27,"-")</f>
        <v>-</v>
      </c>
    </row>
    <row r="28" customFormat="false" ht="18" hidden="false" customHeight="true" outlineLevel="0" collapsed="false">
      <c r="B28" s="13" t="s">
        <v>17</v>
      </c>
      <c r="C28" s="14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SALES'!D$2:D$5000="Memory Card")*IF(ISNUMBER('💰 DAILY SALES'!F$2:F$5000),'💰 DAILY SALES'!F$2:F$5000,0))</f>
        <v>0</v>
      </c>
      <c r="D28" s="17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SALES'!D$2:D$5000="Memory Card")*IF(ISNUMBER('💰 DAILY SALES'!G$2:G$5000),'💰 DAILY SALES'!G$2:G$5000,0))</f>
        <v>0</v>
      </c>
      <c r="E28" s="17" t="str">
        <f aca="false">IFERROR(D28/C28,"-")</f>
        <v>-</v>
      </c>
    </row>
    <row r="29" customFormat="false" ht="18" hidden="false" customHeight="true" outlineLevel="0" collapsed="false">
      <c r="B29" s="10" t="s">
        <v>18</v>
      </c>
      <c r="C29" s="11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SALES'!D$2:D$5000="Charger")*IF(ISNUMBER('💰 DAILY SALES'!F$2:F$5000),'💰 DAILY SALES'!F$2:F$5000,0))</f>
        <v>0</v>
      </c>
      <c r="D29" s="18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SALES'!D$2:D$5000="Charger")*IF(ISNUMBER('💰 DAILY SALES'!G$2:G$5000),'💰 DAILY SALES'!G$2:G$5000,0))</f>
        <v>0</v>
      </c>
      <c r="E29" s="18" t="str">
        <f aca="false">IFERROR(D29/C29,"-")</f>
        <v>-</v>
      </c>
    </row>
    <row r="30" customFormat="false" ht="18" hidden="false" customHeight="true" outlineLevel="0" collapsed="false">
      <c r="B30" s="13" t="s">
        <v>19</v>
      </c>
      <c r="C30" s="14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SALES'!D$2:D$5000="Tripod Stand")*IF(ISNUMBER('💰 DAILY SALES'!F$2:F$5000),'💰 DAILY SALES'!F$2:F$5000,0))</f>
        <v>0</v>
      </c>
      <c r="D30" s="17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SALES'!D$2:D$5000="Tripod Stand")*IF(ISNUMBER('💰 DAILY SALES'!G$2:G$5000),'💰 DAILY SALES'!G$2:G$5000,0))</f>
        <v>0</v>
      </c>
      <c r="E30" s="17" t="str">
        <f aca="false">IFERROR(D30/C30,"-")</f>
        <v>-</v>
      </c>
    </row>
    <row r="31" customFormat="false" ht="18" hidden="false" customHeight="true" outlineLevel="0" collapsed="false">
      <c r="B31" s="10" t="s">
        <v>20</v>
      </c>
      <c r="C31" s="11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SALES'!D$2:D$5000="Selfie Stick")*IF(ISNUMBER('💰 DAILY SALES'!F$2:F$5000),'💰 DAILY SALES'!F$2:F$5000,0))</f>
        <v>0</v>
      </c>
      <c r="D31" s="18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SALES'!D$2:D$5000="Selfie Stick")*IF(ISNUMBER('💰 DAILY SALES'!G$2:G$5000),'💰 DAILY SALES'!G$2:G$5000,0))</f>
        <v>0</v>
      </c>
      <c r="E31" s="18" t="str">
        <f aca="false">IFERROR(D31/C31,"-")</f>
        <v>-</v>
      </c>
    </row>
    <row r="32" customFormat="false" ht="18" hidden="false" customHeight="true" outlineLevel="0" collapsed="false">
      <c r="B32" s="13" t="s">
        <v>21</v>
      </c>
      <c r="C32" s="14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SALES'!D$2:D$5000="Cables")*IF(ISNUMBER('💰 DAILY SALES'!F$2:F$5000),'💰 DAILY SALES'!F$2:F$5000,0))</f>
        <v>0</v>
      </c>
      <c r="D32" s="17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SALES'!D$2:D$5000="Cables")*IF(ISNUMBER('💰 DAILY SALES'!G$2:G$5000),'💰 DAILY SALES'!G$2:G$5000,0))</f>
        <v>0</v>
      </c>
      <c r="E32" s="17" t="str">
        <f aca="false">IFERROR(D32/C32,"-")</f>
        <v>-</v>
      </c>
    </row>
    <row r="33" customFormat="false" ht="18" hidden="false" customHeight="true" outlineLevel="0" collapsed="false">
      <c r="B33" s="10" t="s">
        <v>22</v>
      </c>
      <c r="C33" s="11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SALES'!D$2:D$5000="Ringlight")*IF(ISNUMBER('💰 DAILY SALES'!F$2:F$5000),'💰 DAILY SALES'!F$2:F$5000,0))</f>
        <v>0</v>
      </c>
      <c r="D33" s="18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SALES'!D$2:D$5000="Ringlight")*IF(ISNUMBER('💰 DAILY SALES'!G$2:G$5000),'💰 DAILY SALES'!G$2:G$5000,0))</f>
        <v>0</v>
      </c>
      <c r="E33" s="18" t="str">
        <f aca="false">IFERROR(D33/C33,"-")</f>
        <v>-</v>
      </c>
    </row>
    <row r="34" customFormat="false" ht="18" hidden="false" customHeight="true" outlineLevel="0" collapsed="false">
      <c r="B34" s="13" t="s">
        <v>23</v>
      </c>
      <c r="C34" s="14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SALES'!D$2:D$5000="Speakers")*IF(ISNUMBER('💰 DAILY SALES'!F$2:F$5000),'💰 DAILY SALES'!F$2:F$5000,0))</f>
        <v>0</v>
      </c>
      <c r="D34" s="17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SALES'!D$2:D$5000="Speakers")*IF(ISNUMBER('💰 DAILY SALES'!G$2:G$5000),'💰 DAILY SALES'!G$2:G$5000,0))</f>
        <v>0</v>
      </c>
      <c r="E34" s="17" t="str">
        <f aca="false">IFERROR(D34/C34,"-")</f>
        <v>-</v>
      </c>
    </row>
    <row r="35" customFormat="false" ht="18" hidden="false" customHeight="true" outlineLevel="0" collapsed="false">
      <c r="B35" s="10" t="s">
        <v>24</v>
      </c>
      <c r="C35" s="11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SALES'!D$2:D$5000="Wireless Mic")*IF(ISNUMBER('💰 DAILY SALES'!F$2:F$5000),'💰 DAILY SALES'!F$2:F$5000,0))</f>
        <v>0</v>
      </c>
      <c r="D35" s="18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SALES'!D$2:D$5000="Wireless Mic")*IF(ISNUMBER('💰 DAILY SALES'!G$2:G$5000),'💰 DAILY SALES'!G$2:G$5000,0))</f>
        <v>0</v>
      </c>
      <c r="E35" s="18" t="str">
        <f aca="false">IFERROR(D35/C35,"-")</f>
        <v>-</v>
      </c>
    </row>
    <row r="36" customFormat="false" ht="18" hidden="false" customHeight="true" outlineLevel="0" collapsed="false">
      <c r="B36" s="13" t="s">
        <v>25</v>
      </c>
      <c r="C36" s="14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SALES'!D$2:D$5000="Mouse")*IF(ISNUMBER('💰 DAILY SALES'!F$2:F$5000),'💰 DAILY SALES'!F$2:F$5000,0))</f>
        <v>0</v>
      </c>
      <c r="D36" s="17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SALES'!D$2:D$5000="Mouse")*IF(ISNUMBER('💰 DAILY SALES'!G$2:G$5000),'💰 DAILY SALES'!G$2:G$5000,0))</f>
        <v>0</v>
      </c>
      <c r="E36" s="17" t="str">
        <f aca="false">IFERROR(D36/C36,"-")</f>
        <v>-</v>
      </c>
    </row>
    <row r="37" customFormat="false" ht="18" hidden="false" customHeight="true" outlineLevel="0" collapsed="false">
      <c r="B37" s="10" t="s">
        <v>26</v>
      </c>
      <c r="C37" s="11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SALES'!D$2:D$5000="Powerbanks")*IF(ISNUMBER('💰 DAILY SALES'!F$2:F$5000),'💰 DAILY SALES'!F$2:F$5000,0))</f>
        <v>0</v>
      </c>
      <c r="D37" s="18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SALES'!D$2:D$5000="Powerbanks")*IF(ISNUMBER('💰 DAILY SALES'!G$2:G$5000),'💰 DAILY SALES'!G$2:G$5000,0))</f>
        <v>0</v>
      </c>
      <c r="E37" s="18" t="str">
        <f aca="false">IFERROR(D37/C37,"-")</f>
        <v>-</v>
      </c>
    </row>
    <row r="38" customFormat="false" ht="18" hidden="false" customHeight="true" outlineLevel="0" collapsed="false">
      <c r="B38" s="13" t="s">
        <v>27</v>
      </c>
      <c r="C38" s="14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SALES'!D$2:D$5000="Smartwatch")*IF(ISNUMBER('💰 DAILY SALES'!F$2:F$5000),'💰 DAILY SALES'!F$2:F$5000,0))</f>
        <v>0</v>
      </c>
      <c r="D38" s="17" t="n">
        <f aca="true">SUMPRODUCT((ISNUMBER('💰 DAILY SALES'!B$2:B$5000))*(MONTH(IF(ISNUMBER('💰 DAILY SALES'!B$2:B$5000),'💰 DAILY SALES'!B$2:B$5000,1))=MONTH(TODAY()))*(YEAR(IF(ISNUMBER('💰 DAILY SALES'!B$2:B$5000),'💰 DAILY SALES'!B$2:B$5000,1))=YEAR(TODAY()))*('💰 DAILY SALES'!D$2:D$5000="Smartwatch")*IF(ISNUMBER('💰 DAILY SALES'!G$2:G$5000),'💰 DAILY SALES'!G$2:G$5000,0))</f>
        <v>0</v>
      </c>
      <c r="E38" s="17" t="str">
        <f aca="false">IFERROR(D38/C38,"-")</f>
        <v>-</v>
      </c>
    </row>
    <row r="39" customFormat="false" ht="21.75" hidden="false" customHeight="true" outlineLevel="0" collapsed="false">
      <c r="B39" s="9" t="s">
        <v>28</v>
      </c>
      <c r="C39" s="19" t="n">
        <f aca="false">SUM(C26:C38)</f>
        <v>0</v>
      </c>
      <c r="D39" s="20" t="n">
        <f aca="false">SUM(D26:D38)</f>
        <v>0</v>
      </c>
      <c r="E39" s="9"/>
      <c r="F39" s="9"/>
    </row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11">
    <mergeCell ref="B1:G1"/>
    <mergeCell ref="B2:G2"/>
    <mergeCell ref="B3:G3"/>
    <mergeCell ref="B4:C4"/>
    <mergeCell ref="D4:E4"/>
    <mergeCell ref="F4:G4"/>
    <mergeCell ref="B5:C5"/>
    <mergeCell ref="D5:E5"/>
    <mergeCell ref="F5:G5"/>
    <mergeCell ref="B7:G7"/>
    <mergeCell ref="B24:G24"/>
  </mergeCells>
  <conditionalFormatting sqref="F9:F21">
    <cfRule type="expression" priority="2" aboveAverage="0" equalAverage="0" bottom="0" percent="0" rank="0" text="" dxfId="0">
      <formula>ISNUMBER(SEARCH("REORDER",F9))</formula>
    </cfRule>
    <cfRule type="expression" priority="3" aboveAverage="0" equalAverage="0" bottom="0" percent="0" rank="0" text="" dxfId="1">
      <formula>ISNUMBER(SEARCH("LOW",F9))</formula>
    </cfRule>
    <cfRule type="expression" priority="4" aboveAverage="0" equalAverage="0" bottom="0" percent="0" rank="0" text="" dxfId="2">
      <formula>ISNUMBER(SEARCH("OK",F9))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B4"/>
    <pageSetUpPr fitToPage="false"/>
  </sheetPr>
  <dimension ref="B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5"/>
    <col collapsed="false" customWidth="true" hidden="false" outlineLevel="0" max="5" min="5" style="1" width="14"/>
    <col collapsed="false" customWidth="true" hidden="false" outlineLevel="0" max="7" min="6" style="1" width="15"/>
    <col collapsed="false" customWidth="true" hidden="false" outlineLevel="0" max="8" min="8" style="1" width="14"/>
    <col collapsed="false" customWidth="true" hidden="false" outlineLevel="0" max="10" min="9" style="1" width="16"/>
    <col collapsed="false" customWidth="true" hidden="false" outlineLevel="0" max="11" min="11" style="1" width="18"/>
    <col collapsed="false" customWidth="true" hidden="false" outlineLevel="0" max="12" min="12" style="1" width="4"/>
  </cols>
  <sheetData>
    <row r="1" customFormat="false" ht="31.5" hidden="false" customHeight="true" outlineLevel="0" collapsed="false">
      <c r="B1" s="21" t="s">
        <v>29</v>
      </c>
      <c r="C1" s="21"/>
      <c r="D1" s="21"/>
      <c r="E1" s="21"/>
      <c r="F1" s="21"/>
      <c r="G1" s="21"/>
      <c r="H1" s="21"/>
      <c r="I1" s="21"/>
      <c r="J1" s="21"/>
      <c r="K1" s="21"/>
    </row>
    <row r="2" customFormat="false" ht="36" hidden="false" customHeight="true" outlineLevel="0" collapsed="false">
      <c r="B2" s="22" t="s">
        <v>6</v>
      </c>
      <c r="C2" s="22" t="s">
        <v>30</v>
      </c>
      <c r="D2" s="22" t="s">
        <v>31</v>
      </c>
      <c r="E2" s="22" t="s">
        <v>32</v>
      </c>
      <c r="F2" s="22" t="s">
        <v>33</v>
      </c>
      <c r="G2" s="22" t="s">
        <v>34</v>
      </c>
      <c r="H2" s="22" t="s">
        <v>35</v>
      </c>
      <c r="I2" s="22" t="s">
        <v>36</v>
      </c>
      <c r="J2" s="22" t="s">
        <v>37</v>
      </c>
      <c r="K2" s="22" t="s">
        <v>38</v>
      </c>
    </row>
    <row r="3" customFormat="false" ht="19.5" hidden="false" customHeight="true" outlineLevel="0" collapsed="false">
      <c r="B3" s="23" t="s">
        <v>15</v>
      </c>
      <c r="C3" s="24" t="n">
        <v>20</v>
      </c>
      <c r="D3" s="25" t="n">
        <f aca="false">SUMIF('📥 STOCK IN'!C:C,B3,'📥 STOCK IN'!D:D)</f>
        <v>0</v>
      </c>
      <c r="E3" s="25" t="n">
        <f aca="false">SUMIF('💰 DAILY SALES'!D:D,B3,'💰 DAILY SALES'!F:F)</f>
        <v>0</v>
      </c>
      <c r="F3" s="26" t="n">
        <v>0</v>
      </c>
      <c r="G3" s="27" t="n">
        <f aca="false">C3+D3-E3-F3</f>
        <v>20</v>
      </c>
      <c r="H3" s="24" t="n">
        <v>5</v>
      </c>
      <c r="I3" s="28" t="n">
        <v>800</v>
      </c>
      <c r="J3" s="28" t="n">
        <v>1500</v>
      </c>
      <c r="K3" s="29" t="n">
        <f aca="false">G3*I3</f>
        <v>16000</v>
      </c>
    </row>
    <row r="4" customFormat="false" ht="19.5" hidden="false" customHeight="true" outlineLevel="0" collapsed="false">
      <c r="B4" s="30" t="s">
        <v>16</v>
      </c>
      <c r="C4" s="31" t="n">
        <v>10</v>
      </c>
      <c r="D4" s="11" t="n">
        <f aca="false">SUMIF('📥 STOCK IN'!C:C,B4,'📥 STOCK IN'!D:D)</f>
        <v>0</v>
      </c>
      <c r="E4" s="11" t="n">
        <f aca="false">SUMIF('💰 DAILY SALES'!D:D,B4,'💰 DAILY SALES'!F:F)</f>
        <v>0</v>
      </c>
      <c r="F4" s="32" t="n">
        <v>0</v>
      </c>
      <c r="G4" s="33" t="n">
        <f aca="false">C4+D4-E4-F4</f>
        <v>10</v>
      </c>
      <c r="H4" s="31" t="n">
        <v>3</v>
      </c>
      <c r="I4" s="34" t="n">
        <v>3500</v>
      </c>
      <c r="J4" s="34" t="n">
        <v>6000</v>
      </c>
      <c r="K4" s="35" t="n">
        <f aca="false">G4*I4</f>
        <v>35000</v>
      </c>
    </row>
    <row r="5" customFormat="false" ht="19.5" hidden="false" customHeight="true" outlineLevel="0" collapsed="false">
      <c r="B5" s="23" t="s">
        <v>17</v>
      </c>
      <c r="C5" s="24" t="n">
        <v>30</v>
      </c>
      <c r="D5" s="25" t="n">
        <f aca="false">SUMIF('📥 STOCK IN'!C:C,B5,'📥 STOCK IN'!D:D)</f>
        <v>0</v>
      </c>
      <c r="E5" s="25" t="n">
        <f aca="false">SUMIF('💰 DAILY SALES'!D:D,B5,'💰 DAILY SALES'!F:F)</f>
        <v>0</v>
      </c>
      <c r="F5" s="26" t="n">
        <v>0</v>
      </c>
      <c r="G5" s="27" t="n">
        <f aca="false">C5+D5-E5-F5</f>
        <v>30</v>
      </c>
      <c r="H5" s="24" t="n">
        <v>10</v>
      </c>
      <c r="I5" s="28" t="n">
        <v>500</v>
      </c>
      <c r="J5" s="28" t="n">
        <v>1000</v>
      </c>
      <c r="K5" s="29" t="n">
        <f aca="false">G5*I5</f>
        <v>15000</v>
      </c>
    </row>
    <row r="6" customFormat="false" ht="19.5" hidden="false" customHeight="true" outlineLevel="0" collapsed="false">
      <c r="B6" s="30" t="s">
        <v>18</v>
      </c>
      <c r="C6" s="31" t="n">
        <v>25</v>
      </c>
      <c r="D6" s="11" t="n">
        <f aca="false">SUMIF('📥 STOCK IN'!C:C,B6,'📥 STOCK IN'!D:D)</f>
        <v>0</v>
      </c>
      <c r="E6" s="11" t="n">
        <f aca="false">SUMIF('💰 DAILY SALES'!D:D,B6,'💰 DAILY SALES'!F:F)</f>
        <v>0</v>
      </c>
      <c r="F6" s="32" t="n">
        <v>0</v>
      </c>
      <c r="G6" s="33" t="n">
        <f aca="false">C6+D6-E6-F6</f>
        <v>25</v>
      </c>
      <c r="H6" s="31" t="n">
        <v>8</v>
      </c>
      <c r="I6" s="34" t="n">
        <v>600</v>
      </c>
      <c r="J6" s="34" t="n">
        <v>1200</v>
      </c>
      <c r="K6" s="35" t="n">
        <f aca="false">G6*I6</f>
        <v>15000</v>
      </c>
    </row>
    <row r="7" customFormat="false" ht="19.5" hidden="false" customHeight="true" outlineLevel="0" collapsed="false">
      <c r="B7" s="23" t="s">
        <v>19</v>
      </c>
      <c r="C7" s="24" t="n">
        <v>8</v>
      </c>
      <c r="D7" s="25" t="n">
        <f aca="false">SUMIF('📥 STOCK IN'!C:C,B7,'📥 STOCK IN'!D:D)</f>
        <v>0</v>
      </c>
      <c r="E7" s="25" t="n">
        <f aca="false">SUMIF('💰 DAILY SALES'!D:D,B7,'💰 DAILY SALES'!F:F)</f>
        <v>0</v>
      </c>
      <c r="F7" s="26" t="n">
        <v>0</v>
      </c>
      <c r="G7" s="27" t="n">
        <f aca="false">C7+D7-E7-F7</f>
        <v>8</v>
      </c>
      <c r="H7" s="24" t="n">
        <v>3</v>
      </c>
      <c r="I7" s="28" t="n">
        <v>2500</v>
      </c>
      <c r="J7" s="28" t="n">
        <v>4500</v>
      </c>
      <c r="K7" s="29" t="n">
        <f aca="false">G7*I7</f>
        <v>20000</v>
      </c>
    </row>
    <row r="8" customFormat="false" ht="19.5" hidden="false" customHeight="true" outlineLevel="0" collapsed="false">
      <c r="B8" s="30" t="s">
        <v>20</v>
      </c>
      <c r="C8" s="31" t="n">
        <v>10</v>
      </c>
      <c r="D8" s="11" t="n">
        <f aca="false">SUMIF('📥 STOCK IN'!C:C,B8,'📥 STOCK IN'!D:D)</f>
        <v>0</v>
      </c>
      <c r="E8" s="11" t="n">
        <f aca="false">SUMIF('💰 DAILY SALES'!D:D,B8,'💰 DAILY SALES'!F:F)</f>
        <v>0</v>
      </c>
      <c r="F8" s="32" t="n">
        <v>0</v>
      </c>
      <c r="G8" s="33" t="n">
        <f aca="false">C8+D8-E8-F8</f>
        <v>10</v>
      </c>
      <c r="H8" s="31" t="n">
        <v>3</v>
      </c>
      <c r="I8" s="34" t="n">
        <v>1500</v>
      </c>
      <c r="J8" s="34" t="n">
        <v>2500</v>
      </c>
      <c r="K8" s="35" t="n">
        <f aca="false">G8*I8</f>
        <v>15000</v>
      </c>
    </row>
    <row r="9" customFormat="false" ht="19.5" hidden="false" customHeight="true" outlineLevel="0" collapsed="false">
      <c r="B9" s="23" t="s">
        <v>21</v>
      </c>
      <c r="C9" s="24" t="n">
        <v>40</v>
      </c>
      <c r="D9" s="25" t="n">
        <f aca="false">SUMIF('📥 STOCK IN'!C:C,B9,'📥 STOCK IN'!D:D)</f>
        <v>0</v>
      </c>
      <c r="E9" s="25" t="n">
        <f aca="false">SUMIF('💰 DAILY SALES'!D:D,B9,'💰 DAILY SALES'!F:F)</f>
        <v>0</v>
      </c>
      <c r="F9" s="26" t="n">
        <v>0</v>
      </c>
      <c r="G9" s="27" t="n">
        <f aca="false">C9+D9-E9-F9</f>
        <v>40</v>
      </c>
      <c r="H9" s="24" t="n">
        <v>15</v>
      </c>
      <c r="I9" s="28" t="n">
        <v>400</v>
      </c>
      <c r="J9" s="28" t="n">
        <v>800</v>
      </c>
      <c r="K9" s="29" t="n">
        <f aca="false">G9*I9</f>
        <v>16000</v>
      </c>
    </row>
    <row r="10" customFormat="false" ht="19.5" hidden="false" customHeight="true" outlineLevel="0" collapsed="false">
      <c r="B10" s="30" t="s">
        <v>22</v>
      </c>
      <c r="C10" s="31" t="n">
        <v>5</v>
      </c>
      <c r="D10" s="11" t="n">
        <f aca="false">SUMIF('📥 STOCK IN'!C:C,B10,'📥 STOCK IN'!D:D)</f>
        <v>0</v>
      </c>
      <c r="E10" s="11" t="n">
        <f aca="false">SUMIF('💰 DAILY SALES'!D:D,B10,'💰 DAILY SALES'!F:F)</f>
        <v>0</v>
      </c>
      <c r="F10" s="32" t="n">
        <v>0</v>
      </c>
      <c r="G10" s="33" t="n">
        <f aca="false">C10+D10-E10-F10</f>
        <v>5</v>
      </c>
      <c r="H10" s="31" t="n">
        <v>2</v>
      </c>
      <c r="I10" s="34" t="n">
        <v>5000</v>
      </c>
      <c r="J10" s="34" t="n">
        <v>8500</v>
      </c>
      <c r="K10" s="35" t="n">
        <f aca="false">G10*I10</f>
        <v>25000</v>
      </c>
    </row>
    <row r="11" customFormat="false" ht="19.5" hidden="false" customHeight="true" outlineLevel="0" collapsed="false">
      <c r="B11" s="23" t="s">
        <v>23</v>
      </c>
      <c r="C11" s="24" t="n">
        <v>8</v>
      </c>
      <c r="D11" s="25" t="n">
        <f aca="false">SUMIF('📥 STOCK IN'!C:C,B11,'📥 STOCK IN'!D:D)</f>
        <v>0</v>
      </c>
      <c r="E11" s="25" t="n">
        <f aca="false">SUMIF('💰 DAILY SALES'!D:D,B11,'💰 DAILY SALES'!F:F)</f>
        <v>0</v>
      </c>
      <c r="F11" s="26" t="n">
        <v>0</v>
      </c>
      <c r="G11" s="27" t="n">
        <f aca="false">C11+D11-E11-F11</f>
        <v>8</v>
      </c>
      <c r="H11" s="24" t="n">
        <v>3</v>
      </c>
      <c r="I11" s="28" t="n">
        <v>3000</v>
      </c>
      <c r="J11" s="28" t="n">
        <v>5500</v>
      </c>
      <c r="K11" s="29" t="n">
        <f aca="false">G11*I11</f>
        <v>24000</v>
      </c>
    </row>
    <row r="12" customFormat="false" ht="19.5" hidden="false" customHeight="true" outlineLevel="0" collapsed="false">
      <c r="B12" s="30" t="s">
        <v>24</v>
      </c>
      <c r="C12" s="31" t="n">
        <v>6</v>
      </c>
      <c r="D12" s="11" t="n">
        <f aca="false">SUMIF('📥 STOCK IN'!C:C,B12,'📥 STOCK IN'!D:D)</f>
        <v>0</v>
      </c>
      <c r="E12" s="11" t="n">
        <f aca="false">SUMIF('💰 DAILY SALES'!D:D,B12,'💰 DAILY SALES'!F:F)</f>
        <v>0</v>
      </c>
      <c r="F12" s="32" t="n">
        <v>0</v>
      </c>
      <c r="G12" s="33" t="n">
        <f aca="false">C12+D12-E12-F12</f>
        <v>6</v>
      </c>
      <c r="H12" s="31" t="n">
        <v>2</v>
      </c>
      <c r="I12" s="34" t="n">
        <v>4000</v>
      </c>
      <c r="J12" s="34" t="n">
        <v>7000</v>
      </c>
      <c r="K12" s="35" t="n">
        <f aca="false">G12*I12</f>
        <v>24000</v>
      </c>
    </row>
    <row r="13" customFormat="false" ht="19.5" hidden="false" customHeight="true" outlineLevel="0" collapsed="false">
      <c r="B13" s="23" t="s">
        <v>25</v>
      </c>
      <c r="C13" s="24" t="n">
        <v>12</v>
      </c>
      <c r="D13" s="25" t="n">
        <f aca="false">SUMIF('📥 STOCK IN'!C:C,B13,'📥 STOCK IN'!D:D)</f>
        <v>0</v>
      </c>
      <c r="E13" s="25" t="n">
        <f aca="false">SUMIF('💰 DAILY SALES'!D:D,B13,'💰 DAILY SALES'!F:F)</f>
        <v>0</v>
      </c>
      <c r="F13" s="26" t="n">
        <v>0</v>
      </c>
      <c r="G13" s="27" t="n">
        <f aca="false">C13+D13-E13-F13</f>
        <v>12</v>
      </c>
      <c r="H13" s="24" t="n">
        <v>4</v>
      </c>
      <c r="I13" s="28" t="n">
        <v>1800</v>
      </c>
      <c r="J13" s="28" t="n">
        <v>3200</v>
      </c>
      <c r="K13" s="29" t="n">
        <f aca="false">G13*I13</f>
        <v>21600</v>
      </c>
    </row>
    <row r="14" customFormat="false" ht="19.5" hidden="false" customHeight="true" outlineLevel="0" collapsed="false">
      <c r="B14" s="30" t="s">
        <v>26</v>
      </c>
      <c r="C14" s="31" t="n">
        <v>10</v>
      </c>
      <c r="D14" s="11" t="n">
        <f aca="false">SUMIF('📥 STOCK IN'!C:C,B14,'📥 STOCK IN'!D:D)</f>
        <v>0</v>
      </c>
      <c r="E14" s="11" t="n">
        <f aca="false">SUMIF('💰 DAILY SALES'!D:D,B14,'💰 DAILY SALES'!F:F)</f>
        <v>0</v>
      </c>
      <c r="F14" s="32" t="n">
        <v>0</v>
      </c>
      <c r="G14" s="33" t="n">
        <f aca="false">C14+D14-E14-F14</f>
        <v>10</v>
      </c>
      <c r="H14" s="31" t="n">
        <v>3</v>
      </c>
      <c r="I14" s="34" t="n">
        <v>3500</v>
      </c>
      <c r="J14" s="34" t="n">
        <v>6000</v>
      </c>
      <c r="K14" s="35" t="n">
        <f aca="false">G14*I14</f>
        <v>35000</v>
      </c>
    </row>
    <row r="15" customFormat="false" ht="19.5" hidden="false" customHeight="true" outlineLevel="0" collapsed="false">
      <c r="B15" s="23" t="s">
        <v>27</v>
      </c>
      <c r="C15" s="24" t="n">
        <v>7</v>
      </c>
      <c r="D15" s="25" t="n">
        <f aca="false">SUMIF('📥 STOCK IN'!C:C,B15,'📥 STOCK IN'!D:D)</f>
        <v>0</v>
      </c>
      <c r="E15" s="25" t="n">
        <f aca="false">SUMIF('💰 DAILY SALES'!D:D,B15,'💰 DAILY SALES'!F:F)</f>
        <v>0</v>
      </c>
      <c r="F15" s="26" t="n">
        <v>0</v>
      </c>
      <c r="G15" s="27" t="n">
        <f aca="false">C15+D15-E15-F15</f>
        <v>7</v>
      </c>
      <c r="H15" s="24" t="n">
        <v>2</v>
      </c>
      <c r="I15" s="28" t="n">
        <v>6000</v>
      </c>
      <c r="J15" s="28" t="n">
        <v>10000</v>
      </c>
      <c r="K15" s="29" t="n">
        <f aca="false">G15*I15</f>
        <v>42000</v>
      </c>
    </row>
    <row r="16" customFormat="false" ht="24" hidden="false" customHeight="true" outlineLevel="0" collapsed="false">
      <c r="B16" s="9" t="s">
        <v>39</v>
      </c>
      <c r="C16" s="19" t="n">
        <f aca="false">SUM(C3:C15)</f>
        <v>191</v>
      </c>
      <c r="D16" s="19" t="n">
        <f aca="false">SUM(D3:D15)</f>
        <v>0</v>
      </c>
      <c r="E16" s="19" t="n">
        <f aca="false">SUM(E3:E15)</f>
        <v>0</v>
      </c>
      <c r="F16" s="19" t="n">
        <f aca="false">SUM(F3:F15)</f>
        <v>0</v>
      </c>
      <c r="G16" s="19" t="n">
        <f aca="false">SUM(G3:G15)</f>
        <v>191</v>
      </c>
      <c r="H16" s="9"/>
      <c r="I16" s="9"/>
      <c r="J16" s="9"/>
      <c r="K16" s="20" t="n">
        <f aca="false">SUM(K3:K15)</f>
        <v>303600</v>
      </c>
    </row>
    <row r="18" customFormat="false" ht="15" hidden="false" customHeight="true" outlineLevel="0" collapsed="false">
      <c r="B18" s="36" t="s">
        <v>40</v>
      </c>
      <c r="C18" s="36"/>
      <c r="D18" s="36"/>
      <c r="E18" s="36"/>
      <c r="F18" s="36"/>
      <c r="G18" s="36"/>
      <c r="H18" s="36"/>
      <c r="I18" s="36"/>
      <c r="J18" s="36"/>
      <c r="K18" s="36"/>
    </row>
    <row r="19" customFormat="false" ht="18" hidden="false" customHeight="true" outlineLevel="0" collapsed="false">
      <c r="B19" s="37" t="s">
        <v>41</v>
      </c>
      <c r="C19" s="37"/>
      <c r="D19" s="37"/>
      <c r="E19" s="37"/>
      <c r="F19" s="37"/>
      <c r="G19" s="37"/>
      <c r="H19" s="37"/>
      <c r="I19" s="37"/>
      <c r="J19" s="37"/>
      <c r="K19" s="37"/>
    </row>
    <row r="20" customFormat="false" ht="18" hidden="false" customHeight="true" outlineLevel="0" collapsed="false">
      <c r="B20" s="38" t="s">
        <v>42</v>
      </c>
      <c r="C20" s="38"/>
      <c r="D20" s="38"/>
      <c r="E20" s="38"/>
      <c r="F20" s="38"/>
      <c r="G20" s="38"/>
      <c r="H20" s="38"/>
      <c r="I20" s="38"/>
      <c r="J20" s="38"/>
      <c r="K20" s="38"/>
    </row>
    <row r="21" customFormat="false" ht="18" hidden="false" customHeight="true" outlineLevel="0" collapsed="false">
      <c r="B21" s="37" t="s">
        <v>43</v>
      </c>
      <c r="C21" s="37"/>
      <c r="D21" s="37"/>
      <c r="E21" s="37"/>
      <c r="F21" s="37"/>
      <c r="G21" s="37"/>
      <c r="H21" s="37"/>
      <c r="I21" s="37"/>
      <c r="J21" s="37"/>
      <c r="K21" s="37"/>
    </row>
    <row r="22" customFormat="false" ht="18" hidden="false" customHeight="true" outlineLevel="0" collapsed="false">
      <c r="B22" s="38" t="s">
        <v>44</v>
      </c>
      <c r="C22" s="38"/>
      <c r="D22" s="38"/>
      <c r="E22" s="38"/>
      <c r="F22" s="38"/>
      <c r="G22" s="38"/>
      <c r="H22" s="38"/>
      <c r="I22" s="38"/>
      <c r="J22" s="38"/>
      <c r="K22" s="38"/>
    </row>
    <row r="23" customFormat="false" ht="18" hidden="false" customHeight="true" outlineLevel="0" collapsed="false">
      <c r="B23" s="37" t="s">
        <v>45</v>
      </c>
      <c r="C23" s="37"/>
      <c r="D23" s="37"/>
      <c r="E23" s="37"/>
      <c r="F23" s="37"/>
      <c r="G23" s="37"/>
      <c r="H23" s="37"/>
      <c r="I23" s="37"/>
      <c r="J23" s="37"/>
      <c r="K23" s="37"/>
    </row>
  </sheetData>
  <mergeCells count="7">
    <mergeCell ref="B1:K1"/>
    <mergeCell ref="B18:K18"/>
    <mergeCell ref="B19:K19"/>
    <mergeCell ref="B20:K20"/>
    <mergeCell ref="B21:K21"/>
    <mergeCell ref="B22:K22"/>
    <mergeCell ref="B23:K23"/>
  </mergeCells>
  <conditionalFormatting sqref="G3:G15">
    <cfRule type="expression" priority="2" aboveAverage="0" equalAverage="0" bottom="0" percent="0" rank="0" text="" dxfId="0">
      <formula>G3&lt;=H3</formula>
    </cfRule>
    <cfRule type="expression" priority="3" aboveAverage="0" equalAverage="0" bottom="0" percent="0" rank="0" text="" dxfId="1">
      <formula>AND(G3&gt;H3,G3&lt;=H3*1.5)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B1:J5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8" min="7" style="1" width="16"/>
    <col collapsed="false" customWidth="true" hidden="false" outlineLevel="0" max="10" min="9" style="1" width="18"/>
    <col collapsed="false" customWidth="true" hidden="false" outlineLevel="0" max="11" min="11" style="1" width="4"/>
  </cols>
  <sheetData>
    <row r="1" customFormat="false" ht="31.5" hidden="false" customHeight="true" outlineLevel="0" collapsed="false">
      <c r="B1" s="21" t="s">
        <v>46</v>
      </c>
      <c r="C1" s="21"/>
      <c r="D1" s="21"/>
      <c r="E1" s="21"/>
      <c r="F1" s="21"/>
      <c r="G1" s="21"/>
      <c r="H1" s="21"/>
      <c r="I1" s="21"/>
      <c r="J1" s="21"/>
    </row>
    <row r="2" customFormat="false" ht="36" hidden="false" customHeight="true" outlineLevel="0" collapsed="false">
      <c r="B2" s="39" t="s">
        <v>47</v>
      </c>
      <c r="C2" s="39" t="s">
        <v>48</v>
      </c>
      <c r="D2" s="39" t="s">
        <v>6</v>
      </c>
      <c r="E2" s="39" t="s">
        <v>49</v>
      </c>
      <c r="F2" s="39" t="s">
        <v>50</v>
      </c>
      <c r="G2" s="39" t="s">
        <v>51</v>
      </c>
      <c r="H2" s="39" t="s">
        <v>52</v>
      </c>
      <c r="I2" s="39" t="s">
        <v>53</v>
      </c>
      <c r="J2" s="39" t="s">
        <v>54</v>
      </c>
    </row>
    <row r="3" customFormat="false" ht="18" hidden="false" customHeight="true" outlineLevel="0" collapsed="false">
      <c r="B3" s="40"/>
      <c r="C3" s="41" t="str">
        <f aca="false">IF(B3="","",TEXT(B3,"DDD"))</f>
        <v/>
      </c>
      <c r="D3" s="10"/>
      <c r="E3" s="10"/>
      <c r="F3" s="11"/>
      <c r="G3" s="18" t="str">
        <f aca="false">IF(D3="","",IFERROR(VLOOKUP(D3,'📦 INVENTORY'!B:J,9,0),""))</f>
        <v/>
      </c>
      <c r="H3" s="35" t="str">
        <f aca="false">IF(OR(F3="",G3=""),"",F3*G3)</f>
        <v/>
      </c>
      <c r="I3" s="41"/>
      <c r="J3" s="41"/>
    </row>
    <row r="4" customFormat="false" ht="18" hidden="false" customHeight="true" outlineLevel="0" collapsed="false">
      <c r="B4" s="42"/>
      <c r="C4" s="43" t="str">
        <f aca="false">IF(B4="","",TEXT(B4,"DDD"))</f>
        <v/>
      </c>
      <c r="D4" s="13"/>
      <c r="E4" s="13"/>
      <c r="F4" s="14"/>
      <c r="G4" s="17" t="str">
        <f aca="false">IF(D4="","",IFERROR(VLOOKUP(D4,'📦 INVENTORY'!B:J,9,0),""))</f>
        <v/>
      </c>
      <c r="H4" s="44" t="str">
        <f aca="false">IF(OR(F4="",G4=""),"",F4*G4)</f>
        <v/>
      </c>
      <c r="I4" s="43"/>
      <c r="J4" s="43"/>
    </row>
    <row r="5" customFormat="false" ht="18" hidden="false" customHeight="true" outlineLevel="0" collapsed="false">
      <c r="B5" s="40"/>
      <c r="C5" s="41" t="str">
        <f aca="false">IF(B5="","",TEXT(B5,"DDD"))</f>
        <v/>
      </c>
      <c r="D5" s="10"/>
      <c r="E5" s="10"/>
      <c r="F5" s="11"/>
      <c r="G5" s="18" t="str">
        <f aca="false">IF(D5="","",IFERROR(VLOOKUP(D5,'📦 INVENTORY'!B:J,9,0),""))</f>
        <v/>
      </c>
      <c r="H5" s="35" t="str">
        <f aca="false">IF(OR(F5="",G5=""),"",F5*G5)</f>
        <v/>
      </c>
      <c r="I5" s="41"/>
      <c r="J5" s="41"/>
    </row>
    <row r="6" customFormat="false" ht="18" hidden="false" customHeight="true" outlineLevel="0" collapsed="false">
      <c r="B6" s="42"/>
      <c r="C6" s="43" t="str">
        <f aca="false">IF(B6="","",TEXT(B6,"DDD"))</f>
        <v/>
      </c>
      <c r="D6" s="13"/>
      <c r="E6" s="13"/>
      <c r="F6" s="14"/>
      <c r="G6" s="17" t="str">
        <f aca="false">IF(D6="","",IFERROR(VLOOKUP(D6,'📦 INVENTORY'!B:J,9,0),""))</f>
        <v/>
      </c>
      <c r="H6" s="44" t="str">
        <f aca="false">IF(OR(F6="",G6=""),"",F6*G6)</f>
        <v/>
      </c>
      <c r="I6" s="43"/>
      <c r="J6" s="43"/>
    </row>
    <row r="7" customFormat="false" ht="18" hidden="false" customHeight="true" outlineLevel="0" collapsed="false">
      <c r="B7" s="40"/>
      <c r="C7" s="41" t="str">
        <f aca="false">IF(B7="","",TEXT(B7,"DDD"))</f>
        <v/>
      </c>
      <c r="D7" s="10"/>
      <c r="E7" s="10"/>
      <c r="F7" s="11"/>
      <c r="G7" s="18" t="str">
        <f aca="false">IF(D7="","",IFERROR(VLOOKUP(D7,'📦 INVENTORY'!B:J,9,0),""))</f>
        <v/>
      </c>
      <c r="H7" s="35" t="str">
        <f aca="false">IF(OR(F7="",G7=""),"",F7*G7)</f>
        <v/>
      </c>
      <c r="I7" s="41"/>
      <c r="J7" s="41"/>
    </row>
    <row r="8" customFormat="false" ht="18" hidden="false" customHeight="true" outlineLevel="0" collapsed="false">
      <c r="B8" s="42"/>
      <c r="C8" s="43" t="str">
        <f aca="false">IF(B8="","",TEXT(B8,"DDD"))</f>
        <v/>
      </c>
      <c r="D8" s="13"/>
      <c r="E8" s="13"/>
      <c r="F8" s="14"/>
      <c r="G8" s="17" t="str">
        <f aca="false">IF(D8="","",IFERROR(VLOOKUP(D8,'📦 INVENTORY'!B:J,9,0),""))</f>
        <v/>
      </c>
      <c r="H8" s="44" t="str">
        <f aca="false">IF(OR(F8="",G8=""),"",F8*G8)</f>
        <v/>
      </c>
      <c r="I8" s="43"/>
      <c r="J8" s="43"/>
    </row>
    <row r="9" customFormat="false" ht="18" hidden="false" customHeight="true" outlineLevel="0" collapsed="false">
      <c r="B9" s="40"/>
      <c r="C9" s="41" t="str">
        <f aca="false">IF(B9="","",TEXT(B9,"DDD"))</f>
        <v/>
      </c>
      <c r="D9" s="10"/>
      <c r="E9" s="10"/>
      <c r="F9" s="11"/>
      <c r="G9" s="18" t="str">
        <f aca="false">IF(D9="","",IFERROR(VLOOKUP(D9,'📦 INVENTORY'!B:J,9,0),""))</f>
        <v/>
      </c>
      <c r="H9" s="35" t="str">
        <f aca="false">IF(OR(F9="",G9=""),"",F9*G9)</f>
        <v/>
      </c>
      <c r="I9" s="41"/>
      <c r="J9" s="41"/>
    </row>
    <row r="10" customFormat="false" ht="18" hidden="false" customHeight="true" outlineLevel="0" collapsed="false">
      <c r="B10" s="42"/>
      <c r="C10" s="43" t="str">
        <f aca="false">IF(B10="","",TEXT(B10,"DDD"))</f>
        <v/>
      </c>
      <c r="D10" s="13"/>
      <c r="E10" s="13"/>
      <c r="F10" s="14"/>
      <c r="G10" s="17" t="str">
        <f aca="false">IF(D10="","",IFERROR(VLOOKUP(D10,'📦 INVENTORY'!B:J,9,0),""))</f>
        <v/>
      </c>
      <c r="H10" s="44" t="str">
        <f aca="false">IF(OR(F10="",G10=""),"",F10*G10)</f>
        <v/>
      </c>
      <c r="I10" s="43"/>
      <c r="J10" s="43"/>
    </row>
    <row r="11" customFormat="false" ht="18" hidden="false" customHeight="true" outlineLevel="0" collapsed="false">
      <c r="B11" s="40"/>
      <c r="C11" s="41" t="str">
        <f aca="false">IF(B11="","",TEXT(B11,"DDD"))</f>
        <v/>
      </c>
      <c r="D11" s="10"/>
      <c r="E11" s="10"/>
      <c r="F11" s="11"/>
      <c r="G11" s="18" t="str">
        <f aca="false">IF(D11="","",IFERROR(VLOOKUP(D11,'📦 INVENTORY'!B:J,9,0),""))</f>
        <v/>
      </c>
      <c r="H11" s="35" t="str">
        <f aca="false">IF(OR(F11="",G11=""),"",F11*G11)</f>
        <v/>
      </c>
      <c r="I11" s="41"/>
      <c r="J11" s="41"/>
    </row>
    <row r="12" customFormat="false" ht="18" hidden="false" customHeight="true" outlineLevel="0" collapsed="false">
      <c r="B12" s="42"/>
      <c r="C12" s="43" t="str">
        <f aca="false">IF(B12="","",TEXT(B12,"DDD"))</f>
        <v/>
      </c>
      <c r="D12" s="13"/>
      <c r="E12" s="13"/>
      <c r="F12" s="14"/>
      <c r="G12" s="17" t="str">
        <f aca="false">IF(D12="","",IFERROR(VLOOKUP(D12,'📦 INVENTORY'!B:J,9,0),""))</f>
        <v/>
      </c>
      <c r="H12" s="44" t="str">
        <f aca="false">IF(OR(F12="",G12=""),"",F12*G12)</f>
        <v/>
      </c>
      <c r="I12" s="43"/>
      <c r="J12" s="43"/>
    </row>
    <row r="13" customFormat="false" ht="18" hidden="false" customHeight="true" outlineLevel="0" collapsed="false">
      <c r="B13" s="40"/>
      <c r="C13" s="41" t="str">
        <f aca="false">IF(B13="","",TEXT(B13,"DDD"))</f>
        <v/>
      </c>
      <c r="D13" s="10"/>
      <c r="E13" s="10"/>
      <c r="F13" s="11"/>
      <c r="G13" s="18" t="str">
        <f aca="false">IF(D13="","",IFERROR(VLOOKUP(D13,'📦 INVENTORY'!B:J,9,0),""))</f>
        <v/>
      </c>
      <c r="H13" s="35" t="str">
        <f aca="false">IF(OR(F13="",G13=""),"",F13*G13)</f>
        <v/>
      </c>
      <c r="I13" s="41"/>
      <c r="J13" s="41"/>
    </row>
    <row r="14" customFormat="false" ht="18" hidden="false" customHeight="true" outlineLevel="0" collapsed="false">
      <c r="B14" s="42"/>
      <c r="C14" s="43" t="str">
        <f aca="false">IF(B14="","",TEXT(B14,"DDD"))</f>
        <v/>
      </c>
      <c r="D14" s="13"/>
      <c r="E14" s="13"/>
      <c r="F14" s="14"/>
      <c r="G14" s="17" t="str">
        <f aca="false">IF(D14="","",IFERROR(VLOOKUP(D14,'📦 INVENTORY'!B:J,9,0),""))</f>
        <v/>
      </c>
      <c r="H14" s="44" t="str">
        <f aca="false">IF(OR(F14="",G14=""),"",F14*G14)</f>
        <v/>
      </c>
      <c r="I14" s="43"/>
      <c r="J14" s="43"/>
    </row>
    <row r="15" customFormat="false" ht="18" hidden="false" customHeight="true" outlineLevel="0" collapsed="false">
      <c r="B15" s="40"/>
      <c r="C15" s="41" t="str">
        <f aca="false">IF(B15="","",TEXT(B15,"DDD"))</f>
        <v/>
      </c>
      <c r="D15" s="10"/>
      <c r="E15" s="10"/>
      <c r="F15" s="11"/>
      <c r="G15" s="18" t="str">
        <f aca="false">IF(D15="","",IFERROR(VLOOKUP(D15,'📦 INVENTORY'!B:J,9,0),""))</f>
        <v/>
      </c>
      <c r="H15" s="35" t="str">
        <f aca="false">IF(OR(F15="",G15=""),"",F15*G15)</f>
        <v/>
      </c>
      <c r="I15" s="41"/>
      <c r="J15" s="41"/>
    </row>
    <row r="16" customFormat="false" ht="18" hidden="false" customHeight="true" outlineLevel="0" collapsed="false">
      <c r="B16" s="42"/>
      <c r="C16" s="43" t="str">
        <f aca="false">IF(B16="","",TEXT(B16,"DDD"))</f>
        <v/>
      </c>
      <c r="D16" s="13"/>
      <c r="E16" s="13"/>
      <c r="F16" s="14"/>
      <c r="G16" s="17" t="str">
        <f aca="false">IF(D16="","",IFERROR(VLOOKUP(D16,'📦 INVENTORY'!B:J,9,0),""))</f>
        <v/>
      </c>
      <c r="H16" s="44" t="str">
        <f aca="false">IF(OR(F16="",G16=""),"",F16*G16)</f>
        <v/>
      </c>
      <c r="I16" s="43"/>
      <c r="J16" s="43"/>
    </row>
    <row r="17" customFormat="false" ht="18" hidden="false" customHeight="true" outlineLevel="0" collapsed="false">
      <c r="B17" s="40"/>
      <c r="C17" s="41" t="str">
        <f aca="false">IF(B17="","",TEXT(B17,"DDD"))</f>
        <v/>
      </c>
      <c r="D17" s="10"/>
      <c r="E17" s="10"/>
      <c r="F17" s="11"/>
      <c r="G17" s="18" t="str">
        <f aca="false">IF(D17="","",IFERROR(VLOOKUP(D17,'📦 INVENTORY'!B:J,9,0),""))</f>
        <v/>
      </c>
      <c r="H17" s="35" t="str">
        <f aca="false">IF(OR(F17="",G17=""),"",F17*G17)</f>
        <v/>
      </c>
      <c r="I17" s="41"/>
      <c r="J17" s="41"/>
    </row>
    <row r="18" customFormat="false" ht="18" hidden="false" customHeight="true" outlineLevel="0" collapsed="false">
      <c r="B18" s="42"/>
      <c r="C18" s="43" t="str">
        <f aca="false">IF(B18="","",TEXT(B18,"DDD"))</f>
        <v/>
      </c>
      <c r="D18" s="13"/>
      <c r="E18" s="13"/>
      <c r="F18" s="14"/>
      <c r="G18" s="17" t="str">
        <f aca="false">IF(D18="","",IFERROR(VLOOKUP(D18,'📦 INVENTORY'!B:J,9,0),""))</f>
        <v/>
      </c>
      <c r="H18" s="44" t="str">
        <f aca="false">IF(OR(F18="",G18=""),"",F18*G18)</f>
        <v/>
      </c>
      <c r="I18" s="43"/>
      <c r="J18" s="43"/>
    </row>
    <row r="19" customFormat="false" ht="18" hidden="false" customHeight="true" outlineLevel="0" collapsed="false">
      <c r="B19" s="40"/>
      <c r="C19" s="41" t="str">
        <f aca="false">IF(B19="","",TEXT(B19,"DDD"))</f>
        <v/>
      </c>
      <c r="D19" s="10"/>
      <c r="E19" s="10"/>
      <c r="F19" s="11"/>
      <c r="G19" s="18" t="str">
        <f aca="false">IF(D19="","",IFERROR(VLOOKUP(D19,'📦 INVENTORY'!B:J,9,0),""))</f>
        <v/>
      </c>
      <c r="H19" s="35" t="str">
        <f aca="false">IF(OR(F19="",G19=""),"",F19*G19)</f>
        <v/>
      </c>
      <c r="I19" s="41"/>
      <c r="J19" s="41"/>
    </row>
    <row r="20" customFormat="false" ht="18" hidden="false" customHeight="true" outlineLevel="0" collapsed="false">
      <c r="B20" s="42"/>
      <c r="C20" s="43" t="str">
        <f aca="false">IF(B20="","",TEXT(B20,"DDD"))</f>
        <v/>
      </c>
      <c r="D20" s="13"/>
      <c r="E20" s="13"/>
      <c r="F20" s="14"/>
      <c r="G20" s="17" t="str">
        <f aca="false">IF(D20="","",IFERROR(VLOOKUP(D20,'📦 INVENTORY'!B:J,9,0),""))</f>
        <v/>
      </c>
      <c r="H20" s="44" t="str">
        <f aca="false">IF(OR(F20="",G20=""),"",F20*G20)</f>
        <v/>
      </c>
      <c r="I20" s="43"/>
      <c r="J20" s="43"/>
    </row>
    <row r="21" customFormat="false" ht="18" hidden="false" customHeight="true" outlineLevel="0" collapsed="false">
      <c r="B21" s="40"/>
      <c r="C21" s="41" t="str">
        <f aca="false">IF(B21="","",TEXT(B21,"DDD"))</f>
        <v/>
      </c>
      <c r="D21" s="10"/>
      <c r="E21" s="10"/>
      <c r="F21" s="11"/>
      <c r="G21" s="18" t="str">
        <f aca="false">IF(D21="","",IFERROR(VLOOKUP(D21,'📦 INVENTORY'!B:J,9,0),""))</f>
        <v/>
      </c>
      <c r="H21" s="35" t="str">
        <f aca="false">IF(OR(F21="",G21=""),"",F21*G21)</f>
        <v/>
      </c>
      <c r="I21" s="41"/>
      <c r="J21" s="41"/>
    </row>
    <row r="22" customFormat="false" ht="18" hidden="false" customHeight="true" outlineLevel="0" collapsed="false">
      <c r="B22" s="42"/>
      <c r="C22" s="43" t="str">
        <f aca="false">IF(B22="","",TEXT(B22,"DDD"))</f>
        <v/>
      </c>
      <c r="D22" s="13"/>
      <c r="E22" s="13"/>
      <c r="F22" s="14"/>
      <c r="G22" s="17" t="str">
        <f aca="false">IF(D22="","",IFERROR(VLOOKUP(D22,'📦 INVENTORY'!B:J,9,0),""))</f>
        <v/>
      </c>
      <c r="H22" s="44" t="str">
        <f aca="false">IF(OR(F22="",G22=""),"",F22*G22)</f>
        <v/>
      </c>
      <c r="I22" s="43"/>
      <c r="J22" s="43"/>
    </row>
    <row r="23" customFormat="false" ht="18" hidden="false" customHeight="true" outlineLevel="0" collapsed="false">
      <c r="B23" s="40"/>
      <c r="C23" s="41" t="str">
        <f aca="false">IF(B23="","",TEXT(B23,"DDD"))</f>
        <v/>
      </c>
      <c r="D23" s="10"/>
      <c r="E23" s="10"/>
      <c r="F23" s="11"/>
      <c r="G23" s="18" t="str">
        <f aca="false">IF(D23="","",IFERROR(VLOOKUP(D23,'📦 INVENTORY'!B:J,9,0),""))</f>
        <v/>
      </c>
      <c r="H23" s="35" t="str">
        <f aca="false">IF(OR(F23="",G23=""),"",F23*G23)</f>
        <v/>
      </c>
      <c r="I23" s="41"/>
      <c r="J23" s="41"/>
    </row>
    <row r="24" customFormat="false" ht="18" hidden="false" customHeight="true" outlineLevel="0" collapsed="false">
      <c r="B24" s="42"/>
      <c r="C24" s="43" t="str">
        <f aca="false">IF(B24="","",TEXT(B24,"DDD"))</f>
        <v/>
      </c>
      <c r="D24" s="13"/>
      <c r="E24" s="13"/>
      <c r="F24" s="14"/>
      <c r="G24" s="17" t="str">
        <f aca="false">IF(D24="","",IFERROR(VLOOKUP(D24,'📦 INVENTORY'!B:J,9,0),""))</f>
        <v/>
      </c>
      <c r="H24" s="44" t="str">
        <f aca="false">IF(OR(F24="",G24=""),"",F24*G24)</f>
        <v/>
      </c>
      <c r="I24" s="43"/>
      <c r="J24" s="43"/>
    </row>
    <row r="25" customFormat="false" ht="18" hidden="false" customHeight="true" outlineLevel="0" collapsed="false">
      <c r="B25" s="40"/>
      <c r="C25" s="41" t="str">
        <f aca="false">IF(B25="","",TEXT(B25,"DDD"))</f>
        <v/>
      </c>
      <c r="D25" s="10"/>
      <c r="E25" s="10"/>
      <c r="F25" s="11"/>
      <c r="G25" s="18" t="str">
        <f aca="false">IF(D25="","",IFERROR(VLOOKUP(D25,'📦 INVENTORY'!B:J,9,0),""))</f>
        <v/>
      </c>
      <c r="H25" s="35" t="str">
        <f aca="false">IF(OR(F25="",G25=""),"",F25*G25)</f>
        <v/>
      </c>
      <c r="I25" s="41"/>
      <c r="J25" s="41"/>
    </row>
    <row r="26" customFormat="false" ht="18" hidden="false" customHeight="true" outlineLevel="0" collapsed="false">
      <c r="B26" s="42"/>
      <c r="C26" s="43" t="str">
        <f aca="false">IF(B26="","",TEXT(B26,"DDD"))</f>
        <v/>
      </c>
      <c r="D26" s="13"/>
      <c r="E26" s="13"/>
      <c r="F26" s="14"/>
      <c r="G26" s="17" t="str">
        <f aca="false">IF(D26="","",IFERROR(VLOOKUP(D26,'📦 INVENTORY'!B:J,9,0),""))</f>
        <v/>
      </c>
      <c r="H26" s="44" t="str">
        <f aca="false">IF(OR(F26="",G26=""),"",F26*G26)</f>
        <v/>
      </c>
      <c r="I26" s="43"/>
      <c r="J26" s="43"/>
    </row>
    <row r="27" customFormat="false" ht="18" hidden="false" customHeight="true" outlineLevel="0" collapsed="false">
      <c r="B27" s="40"/>
      <c r="C27" s="41" t="str">
        <f aca="false">IF(B27="","",TEXT(B27,"DDD"))</f>
        <v/>
      </c>
      <c r="D27" s="10"/>
      <c r="E27" s="10"/>
      <c r="F27" s="11"/>
      <c r="G27" s="18" t="str">
        <f aca="false">IF(D27="","",IFERROR(VLOOKUP(D27,'📦 INVENTORY'!B:J,9,0),""))</f>
        <v/>
      </c>
      <c r="H27" s="35" t="str">
        <f aca="false">IF(OR(F27="",G27=""),"",F27*G27)</f>
        <v/>
      </c>
      <c r="I27" s="41"/>
      <c r="J27" s="41"/>
    </row>
    <row r="28" customFormat="false" ht="18" hidden="false" customHeight="true" outlineLevel="0" collapsed="false">
      <c r="B28" s="42"/>
      <c r="C28" s="43" t="str">
        <f aca="false">IF(B28="","",TEXT(B28,"DDD"))</f>
        <v/>
      </c>
      <c r="D28" s="13"/>
      <c r="E28" s="13"/>
      <c r="F28" s="14"/>
      <c r="G28" s="17" t="str">
        <f aca="false">IF(D28="","",IFERROR(VLOOKUP(D28,'📦 INVENTORY'!B:J,9,0),""))</f>
        <v/>
      </c>
      <c r="H28" s="44" t="str">
        <f aca="false">IF(OR(F28="",G28=""),"",F28*G28)</f>
        <v/>
      </c>
      <c r="I28" s="43"/>
      <c r="J28" s="43"/>
    </row>
    <row r="29" customFormat="false" ht="18" hidden="false" customHeight="true" outlineLevel="0" collapsed="false">
      <c r="B29" s="40"/>
      <c r="C29" s="41" t="str">
        <f aca="false">IF(B29="","",TEXT(B29,"DDD"))</f>
        <v/>
      </c>
      <c r="D29" s="10"/>
      <c r="E29" s="10"/>
      <c r="F29" s="11"/>
      <c r="G29" s="18" t="str">
        <f aca="false">IF(D29="","",IFERROR(VLOOKUP(D29,'📦 INVENTORY'!B:J,9,0),""))</f>
        <v/>
      </c>
      <c r="H29" s="35" t="str">
        <f aca="false">IF(OR(F29="",G29=""),"",F29*G29)</f>
        <v/>
      </c>
      <c r="I29" s="41"/>
      <c r="J29" s="41"/>
    </row>
    <row r="30" customFormat="false" ht="18" hidden="false" customHeight="true" outlineLevel="0" collapsed="false">
      <c r="B30" s="42"/>
      <c r="C30" s="43" t="str">
        <f aca="false">IF(B30="","",TEXT(B30,"DDD"))</f>
        <v/>
      </c>
      <c r="D30" s="13"/>
      <c r="E30" s="13"/>
      <c r="F30" s="14"/>
      <c r="G30" s="17" t="str">
        <f aca="false">IF(D30="","",IFERROR(VLOOKUP(D30,'📦 INVENTORY'!B:J,9,0),""))</f>
        <v/>
      </c>
      <c r="H30" s="44" t="str">
        <f aca="false">IF(OR(F30="",G30=""),"",F30*G30)</f>
        <v/>
      </c>
      <c r="I30" s="43"/>
      <c r="J30" s="43"/>
    </row>
    <row r="31" customFormat="false" ht="18" hidden="false" customHeight="true" outlineLevel="0" collapsed="false">
      <c r="B31" s="40"/>
      <c r="C31" s="41" t="str">
        <f aca="false">IF(B31="","",TEXT(B31,"DDD"))</f>
        <v/>
      </c>
      <c r="D31" s="10"/>
      <c r="E31" s="10"/>
      <c r="F31" s="11"/>
      <c r="G31" s="18" t="str">
        <f aca="false">IF(D31="","",IFERROR(VLOOKUP(D31,'📦 INVENTORY'!B:J,9,0),""))</f>
        <v/>
      </c>
      <c r="H31" s="35" t="str">
        <f aca="false">IF(OR(F31="",G31=""),"",F31*G31)</f>
        <v/>
      </c>
      <c r="I31" s="41"/>
      <c r="J31" s="41"/>
    </row>
    <row r="32" customFormat="false" ht="18" hidden="false" customHeight="true" outlineLevel="0" collapsed="false">
      <c r="B32" s="42"/>
      <c r="C32" s="43" t="str">
        <f aca="false">IF(B32="","",TEXT(B32,"DDD"))</f>
        <v/>
      </c>
      <c r="D32" s="13"/>
      <c r="E32" s="13"/>
      <c r="F32" s="14"/>
      <c r="G32" s="17" t="str">
        <f aca="false">IF(D32="","",IFERROR(VLOOKUP(D32,'📦 INVENTORY'!B:J,9,0),""))</f>
        <v/>
      </c>
      <c r="H32" s="44" t="str">
        <f aca="false">IF(OR(F32="",G32=""),"",F32*G32)</f>
        <v/>
      </c>
      <c r="I32" s="43"/>
      <c r="J32" s="43"/>
    </row>
    <row r="33" customFormat="false" ht="18" hidden="false" customHeight="true" outlineLevel="0" collapsed="false">
      <c r="B33" s="40"/>
      <c r="C33" s="41" t="str">
        <f aca="false">IF(B33="","",TEXT(B33,"DDD"))</f>
        <v/>
      </c>
      <c r="D33" s="10"/>
      <c r="E33" s="10"/>
      <c r="F33" s="11"/>
      <c r="G33" s="18" t="str">
        <f aca="false">IF(D33="","",IFERROR(VLOOKUP(D33,'📦 INVENTORY'!B:J,9,0),""))</f>
        <v/>
      </c>
      <c r="H33" s="35" t="str">
        <f aca="false">IF(OR(F33="",G33=""),"",F33*G33)</f>
        <v/>
      </c>
      <c r="I33" s="41"/>
      <c r="J33" s="41"/>
    </row>
    <row r="34" customFormat="false" ht="18" hidden="false" customHeight="true" outlineLevel="0" collapsed="false">
      <c r="B34" s="42"/>
      <c r="C34" s="43" t="str">
        <f aca="false">IF(B34="","",TEXT(B34,"DDD"))</f>
        <v/>
      </c>
      <c r="D34" s="13"/>
      <c r="E34" s="13"/>
      <c r="F34" s="14"/>
      <c r="G34" s="17" t="str">
        <f aca="false">IF(D34="","",IFERROR(VLOOKUP(D34,'📦 INVENTORY'!B:J,9,0),""))</f>
        <v/>
      </c>
      <c r="H34" s="44" t="str">
        <f aca="false">IF(OR(F34="",G34=""),"",F34*G34)</f>
        <v/>
      </c>
      <c r="I34" s="43"/>
      <c r="J34" s="43"/>
    </row>
    <row r="35" customFormat="false" ht="18" hidden="false" customHeight="true" outlineLevel="0" collapsed="false">
      <c r="B35" s="40"/>
      <c r="C35" s="41" t="str">
        <f aca="false">IF(B35="","",TEXT(B35,"DDD"))</f>
        <v/>
      </c>
      <c r="D35" s="10"/>
      <c r="E35" s="10"/>
      <c r="F35" s="11"/>
      <c r="G35" s="18" t="str">
        <f aca="false">IF(D35="","",IFERROR(VLOOKUP(D35,'📦 INVENTORY'!B:J,9,0),""))</f>
        <v/>
      </c>
      <c r="H35" s="35" t="str">
        <f aca="false">IF(OR(F35="",G35=""),"",F35*G35)</f>
        <v/>
      </c>
      <c r="I35" s="41"/>
      <c r="J35" s="41"/>
    </row>
    <row r="36" customFormat="false" ht="18" hidden="false" customHeight="true" outlineLevel="0" collapsed="false">
      <c r="B36" s="42"/>
      <c r="C36" s="43" t="str">
        <f aca="false">IF(B36="","",TEXT(B36,"DDD"))</f>
        <v/>
      </c>
      <c r="D36" s="13"/>
      <c r="E36" s="13"/>
      <c r="F36" s="14"/>
      <c r="G36" s="17" t="str">
        <f aca="false">IF(D36="","",IFERROR(VLOOKUP(D36,'📦 INVENTORY'!B:J,9,0),""))</f>
        <v/>
      </c>
      <c r="H36" s="44" t="str">
        <f aca="false">IF(OR(F36="",G36=""),"",F36*G36)</f>
        <v/>
      </c>
      <c r="I36" s="43"/>
      <c r="J36" s="43"/>
    </row>
    <row r="37" customFormat="false" ht="18" hidden="false" customHeight="true" outlineLevel="0" collapsed="false">
      <c r="B37" s="40"/>
      <c r="C37" s="41" t="str">
        <f aca="false">IF(B37="","",TEXT(B37,"DDD"))</f>
        <v/>
      </c>
      <c r="D37" s="10"/>
      <c r="E37" s="10"/>
      <c r="F37" s="11"/>
      <c r="G37" s="18" t="str">
        <f aca="false">IF(D37="","",IFERROR(VLOOKUP(D37,'📦 INVENTORY'!B:J,9,0),""))</f>
        <v/>
      </c>
      <c r="H37" s="35" t="str">
        <f aca="false">IF(OR(F37="",G37=""),"",F37*G37)</f>
        <v/>
      </c>
      <c r="I37" s="41"/>
      <c r="J37" s="41"/>
    </row>
    <row r="38" customFormat="false" ht="18" hidden="false" customHeight="true" outlineLevel="0" collapsed="false">
      <c r="B38" s="42"/>
      <c r="C38" s="43" t="str">
        <f aca="false">IF(B38="","",TEXT(B38,"DDD"))</f>
        <v/>
      </c>
      <c r="D38" s="13"/>
      <c r="E38" s="13"/>
      <c r="F38" s="14"/>
      <c r="G38" s="17" t="str">
        <f aca="false">IF(D38="","",IFERROR(VLOOKUP(D38,'📦 INVENTORY'!B:J,9,0),""))</f>
        <v/>
      </c>
      <c r="H38" s="44" t="str">
        <f aca="false">IF(OR(F38="",G38=""),"",F38*G38)</f>
        <v/>
      </c>
      <c r="I38" s="43"/>
      <c r="J38" s="43"/>
    </row>
    <row r="39" customFormat="false" ht="18" hidden="false" customHeight="true" outlineLevel="0" collapsed="false">
      <c r="B39" s="40"/>
      <c r="C39" s="41" t="str">
        <f aca="false">IF(B39="","",TEXT(B39,"DDD"))</f>
        <v/>
      </c>
      <c r="D39" s="10"/>
      <c r="E39" s="10"/>
      <c r="F39" s="11"/>
      <c r="G39" s="18" t="str">
        <f aca="false">IF(D39="","",IFERROR(VLOOKUP(D39,'📦 INVENTORY'!B:J,9,0),""))</f>
        <v/>
      </c>
      <c r="H39" s="35" t="str">
        <f aca="false">IF(OR(F39="",G39=""),"",F39*G39)</f>
        <v/>
      </c>
      <c r="I39" s="41"/>
      <c r="J39" s="41"/>
    </row>
    <row r="40" customFormat="false" ht="18" hidden="false" customHeight="true" outlineLevel="0" collapsed="false">
      <c r="B40" s="42"/>
      <c r="C40" s="43" t="str">
        <f aca="false">IF(B40="","",TEXT(B40,"DDD"))</f>
        <v/>
      </c>
      <c r="D40" s="13"/>
      <c r="E40" s="13"/>
      <c r="F40" s="14"/>
      <c r="G40" s="17" t="str">
        <f aca="false">IF(D40="","",IFERROR(VLOOKUP(D40,'📦 INVENTORY'!B:J,9,0),""))</f>
        <v/>
      </c>
      <c r="H40" s="44" t="str">
        <f aca="false">IF(OR(F40="",G40=""),"",F40*G40)</f>
        <v/>
      </c>
      <c r="I40" s="43"/>
      <c r="J40" s="43"/>
    </row>
    <row r="41" customFormat="false" ht="18" hidden="false" customHeight="true" outlineLevel="0" collapsed="false">
      <c r="B41" s="40"/>
      <c r="C41" s="41" t="str">
        <f aca="false">IF(B41="","",TEXT(B41,"DDD"))</f>
        <v/>
      </c>
      <c r="D41" s="10"/>
      <c r="E41" s="10"/>
      <c r="F41" s="11"/>
      <c r="G41" s="18" t="str">
        <f aca="false">IF(D41="","",IFERROR(VLOOKUP(D41,'📦 INVENTORY'!B:J,9,0),""))</f>
        <v/>
      </c>
      <c r="H41" s="35" t="str">
        <f aca="false">IF(OR(F41="",G41=""),"",F41*G41)</f>
        <v/>
      </c>
      <c r="I41" s="41"/>
      <c r="J41" s="41"/>
    </row>
    <row r="42" customFormat="false" ht="18" hidden="false" customHeight="true" outlineLevel="0" collapsed="false">
      <c r="B42" s="42"/>
      <c r="C42" s="43" t="str">
        <f aca="false">IF(B42="","",TEXT(B42,"DDD"))</f>
        <v/>
      </c>
      <c r="D42" s="13"/>
      <c r="E42" s="13"/>
      <c r="F42" s="14"/>
      <c r="G42" s="17" t="str">
        <f aca="false">IF(D42="","",IFERROR(VLOOKUP(D42,'📦 INVENTORY'!B:J,9,0),""))</f>
        <v/>
      </c>
      <c r="H42" s="44" t="str">
        <f aca="false">IF(OR(F42="",G42=""),"",F42*G42)</f>
        <v/>
      </c>
      <c r="I42" s="43"/>
      <c r="J42" s="43"/>
    </row>
    <row r="43" customFormat="false" ht="18" hidden="false" customHeight="true" outlineLevel="0" collapsed="false">
      <c r="B43" s="40"/>
      <c r="C43" s="41" t="str">
        <f aca="false">IF(B43="","",TEXT(B43,"DDD"))</f>
        <v/>
      </c>
      <c r="D43" s="10"/>
      <c r="E43" s="10"/>
      <c r="F43" s="11"/>
      <c r="G43" s="18" t="str">
        <f aca="false">IF(D43="","",IFERROR(VLOOKUP(D43,'📦 INVENTORY'!B:J,9,0),""))</f>
        <v/>
      </c>
      <c r="H43" s="35" t="str">
        <f aca="false">IF(OR(F43="",G43=""),"",F43*G43)</f>
        <v/>
      </c>
      <c r="I43" s="41"/>
      <c r="J43" s="41"/>
    </row>
    <row r="44" customFormat="false" ht="18" hidden="false" customHeight="true" outlineLevel="0" collapsed="false">
      <c r="B44" s="42"/>
      <c r="C44" s="43" t="str">
        <f aca="false">IF(B44="","",TEXT(B44,"DDD"))</f>
        <v/>
      </c>
      <c r="D44" s="13"/>
      <c r="E44" s="13"/>
      <c r="F44" s="14"/>
      <c r="G44" s="17" t="str">
        <f aca="false">IF(D44="","",IFERROR(VLOOKUP(D44,'📦 INVENTORY'!B:J,9,0),""))</f>
        <v/>
      </c>
      <c r="H44" s="44" t="str">
        <f aca="false">IF(OR(F44="",G44=""),"",F44*G44)</f>
        <v/>
      </c>
      <c r="I44" s="43"/>
      <c r="J44" s="43"/>
    </row>
    <row r="45" customFormat="false" ht="18" hidden="false" customHeight="true" outlineLevel="0" collapsed="false">
      <c r="B45" s="40"/>
      <c r="C45" s="41" t="str">
        <f aca="false">IF(B45="","",TEXT(B45,"DDD"))</f>
        <v/>
      </c>
      <c r="D45" s="10"/>
      <c r="E45" s="10"/>
      <c r="F45" s="11"/>
      <c r="G45" s="18" t="str">
        <f aca="false">IF(D45="","",IFERROR(VLOOKUP(D45,'📦 INVENTORY'!B:J,9,0),""))</f>
        <v/>
      </c>
      <c r="H45" s="35" t="str">
        <f aca="false">IF(OR(F45="",G45=""),"",F45*G45)</f>
        <v/>
      </c>
      <c r="I45" s="41"/>
      <c r="J45" s="41"/>
    </row>
    <row r="46" customFormat="false" ht="18" hidden="false" customHeight="true" outlineLevel="0" collapsed="false">
      <c r="B46" s="42"/>
      <c r="C46" s="43" t="str">
        <f aca="false">IF(B46="","",TEXT(B46,"DDD"))</f>
        <v/>
      </c>
      <c r="D46" s="13"/>
      <c r="E46" s="13"/>
      <c r="F46" s="14"/>
      <c r="G46" s="17" t="str">
        <f aca="false">IF(D46="","",IFERROR(VLOOKUP(D46,'📦 INVENTORY'!B:J,9,0),""))</f>
        <v/>
      </c>
      <c r="H46" s="44" t="str">
        <f aca="false">IF(OR(F46="",G46=""),"",F46*G46)</f>
        <v/>
      </c>
      <c r="I46" s="43"/>
      <c r="J46" s="43"/>
    </row>
    <row r="47" customFormat="false" ht="18" hidden="false" customHeight="true" outlineLevel="0" collapsed="false">
      <c r="B47" s="40"/>
      <c r="C47" s="41" t="str">
        <f aca="false">IF(B47="","",TEXT(B47,"DDD"))</f>
        <v/>
      </c>
      <c r="D47" s="10"/>
      <c r="E47" s="10"/>
      <c r="F47" s="11"/>
      <c r="G47" s="18" t="str">
        <f aca="false">IF(D47="","",IFERROR(VLOOKUP(D47,'📦 INVENTORY'!B:J,9,0),""))</f>
        <v/>
      </c>
      <c r="H47" s="35" t="str">
        <f aca="false">IF(OR(F47="",G47=""),"",F47*G47)</f>
        <v/>
      </c>
      <c r="I47" s="41"/>
      <c r="J47" s="41"/>
    </row>
    <row r="48" customFormat="false" ht="18" hidden="false" customHeight="true" outlineLevel="0" collapsed="false">
      <c r="B48" s="42"/>
      <c r="C48" s="43" t="str">
        <f aca="false">IF(B48="","",TEXT(B48,"DDD"))</f>
        <v/>
      </c>
      <c r="D48" s="13"/>
      <c r="E48" s="13"/>
      <c r="F48" s="14"/>
      <c r="G48" s="17" t="str">
        <f aca="false">IF(D48="","",IFERROR(VLOOKUP(D48,'📦 INVENTORY'!B:J,9,0),""))</f>
        <v/>
      </c>
      <c r="H48" s="44" t="str">
        <f aca="false">IF(OR(F48="",G48=""),"",F48*G48)</f>
        <v/>
      </c>
      <c r="I48" s="43"/>
      <c r="J48" s="43"/>
    </row>
    <row r="49" customFormat="false" ht="18" hidden="false" customHeight="true" outlineLevel="0" collapsed="false">
      <c r="B49" s="40"/>
      <c r="C49" s="41" t="str">
        <f aca="false">IF(B49="","",TEXT(B49,"DDD"))</f>
        <v/>
      </c>
      <c r="D49" s="10"/>
      <c r="E49" s="10"/>
      <c r="F49" s="11"/>
      <c r="G49" s="18" t="str">
        <f aca="false">IF(D49="","",IFERROR(VLOOKUP(D49,'📦 INVENTORY'!B:J,9,0),""))</f>
        <v/>
      </c>
      <c r="H49" s="35" t="str">
        <f aca="false">IF(OR(F49="",G49=""),"",F49*G49)</f>
        <v/>
      </c>
      <c r="I49" s="41"/>
      <c r="J49" s="41"/>
    </row>
    <row r="50" customFormat="false" ht="18" hidden="false" customHeight="true" outlineLevel="0" collapsed="false">
      <c r="B50" s="42"/>
      <c r="C50" s="43" t="str">
        <f aca="false">IF(B50="","",TEXT(B50,"DDD"))</f>
        <v/>
      </c>
      <c r="D50" s="13"/>
      <c r="E50" s="13"/>
      <c r="F50" s="14"/>
      <c r="G50" s="17" t="str">
        <f aca="false">IF(D50="","",IFERROR(VLOOKUP(D50,'📦 INVENTORY'!B:J,9,0),""))</f>
        <v/>
      </c>
      <c r="H50" s="44" t="str">
        <f aca="false">IF(OR(F50="",G50=""),"",F50*G50)</f>
        <v/>
      </c>
      <c r="I50" s="43"/>
      <c r="J50" s="43"/>
    </row>
    <row r="51" customFormat="false" ht="18" hidden="false" customHeight="true" outlineLevel="0" collapsed="false">
      <c r="B51" s="40"/>
      <c r="C51" s="41" t="str">
        <f aca="false">IF(B51="","",TEXT(B51,"DDD"))</f>
        <v/>
      </c>
      <c r="D51" s="10"/>
      <c r="E51" s="10"/>
      <c r="F51" s="11"/>
      <c r="G51" s="18" t="str">
        <f aca="false">IF(D51="","",IFERROR(VLOOKUP(D51,'📦 INVENTORY'!B:J,9,0),""))</f>
        <v/>
      </c>
      <c r="H51" s="35" t="str">
        <f aca="false">IF(OR(F51="",G51=""),"",F51*G51)</f>
        <v/>
      </c>
      <c r="I51" s="41"/>
      <c r="J51" s="41"/>
    </row>
    <row r="52" customFormat="false" ht="18" hidden="false" customHeight="true" outlineLevel="0" collapsed="false">
      <c r="B52" s="42"/>
      <c r="C52" s="43" t="str">
        <f aca="false">IF(B52="","",TEXT(B52,"DDD"))</f>
        <v/>
      </c>
      <c r="D52" s="13"/>
      <c r="E52" s="13"/>
      <c r="F52" s="14"/>
      <c r="G52" s="17" t="str">
        <f aca="false">IF(D52="","",IFERROR(VLOOKUP(D52,'📦 INVENTORY'!B:J,9,0),""))</f>
        <v/>
      </c>
      <c r="H52" s="44" t="str">
        <f aca="false">IF(OR(F52="",G52=""),"",F52*G52)</f>
        <v/>
      </c>
      <c r="I52" s="43"/>
      <c r="J52" s="43"/>
    </row>
    <row r="53" customFormat="false" ht="18" hidden="false" customHeight="true" outlineLevel="0" collapsed="false">
      <c r="B53" s="40"/>
      <c r="C53" s="41" t="str">
        <f aca="false">IF(B53="","",TEXT(B53,"DDD"))</f>
        <v/>
      </c>
      <c r="D53" s="10"/>
      <c r="E53" s="10"/>
      <c r="F53" s="11"/>
      <c r="G53" s="18" t="str">
        <f aca="false">IF(D53="","",IFERROR(VLOOKUP(D53,'📦 INVENTORY'!B:J,9,0),""))</f>
        <v/>
      </c>
      <c r="H53" s="35" t="str">
        <f aca="false">IF(OR(F53="",G53=""),"",F53*G53)</f>
        <v/>
      </c>
      <c r="I53" s="41"/>
      <c r="J53" s="41"/>
    </row>
    <row r="54" customFormat="false" ht="18" hidden="false" customHeight="true" outlineLevel="0" collapsed="false">
      <c r="B54" s="42"/>
      <c r="C54" s="43" t="str">
        <f aca="false">IF(B54="","",TEXT(B54,"DDD"))</f>
        <v/>
      </c>
      <c r="D54" s="13"/>
      <c r="E54" s="13"/>
      <c r="F54" s="14"/>
      <c r="G54" s="17" t="str">
        <f aca="false">IF(D54="","",IFERROR(VLOOKUP(D54,'📦 INVENTORY'!B:J,9,0),""))</f>
        <v/>
      </c>
      <c r="H54" s="44" t="str">
        <f aca="false">IF(OR(F54="",G54=""),"",F54*G54)</f>
        <v/>
      </c>
      <c r="I54" s="43"/>
      <c r="J54" s="43"/>
    </row>
    <row r="55" customFormat="false" ht="18" hidden="false" customHeight="true" outlineLevel="0" collapsed="false">
      <c r="B55" s="40"/>
      <c r="C55" s="41" t="str">
        <f aca="false">IF(B55="","",TEXT(B55,"DDD"))</f>
        <v/>
      </c>
      <c r="D55" s="10"/>
      <c r="E55" s="10"/>
      <c r="F55" s="11"/>
      <c r="G55" s="18" t="str">
        <f aca="false">IF(D55="","",IFERROR(VLOOKUP(D55,'📦 INVENTORY'!B:J,9,0),""))</f>
        <v/>
      </c>
      <c r="H55" s="35" t="str">
        <f aca="false">IF(OR(F55="",G55=""),"",F55*G55)</f>
        <v/>
      </c>
      <c r="I55" s="41"/>
      <c r="J55" s="41"/>
    </row>
    <row r="56" customFormat="false" ht="18" hidden="false" customHeight="true" outlineLevel="0" collapsed="false">
      <c r="B56" s="42"/>
      <c r="C56" s="43" t="str">
        <f aca="false">IF(B56="","",TEXT(B56,"DDD"))</f>
        <v/>
      </c>
      <c r="D56" s="13"/>
      <c r="E56" s="13"/>
      <c r="F56" s="14"/>
      <c r="G56" s="17" t="str">
        <f aca="false">IF(D56="","",IFERROR(VLOOKUP(D56,'📦 INVENTORY'!B:J,9,0),""))</f>
        <v/>
      </c>
      <c r="H56" s="44" t="str">
        <f aca="false">IF(OR(F56="",G56=""),"",F56*G56)</f>
        <v/>
      </c>
      <c r="I56" s="43"/>
      <c r="J56" s="43"/>
    </row>
    <row r="57" customFormat="false" ht="18" hidden="false" customHeight="true" outlineLevel="0" collapsed="false">
      <c r="B57" s="40"/>
      <c r="C57" s="41" t="str">
        <f aca="false">IF(B57="","",TEXT(B57,"DDD"))</f>
        <v/>
      </c>
      <c r="D57" s="10"/>
      <c r="E57" s="10"/>
      <c r="F57" s="11"/>
      <c r="G57" s="18" t="str">
        <f aca="false">IF(D57="","",IFERROR(VLOOKUP(D57,'📦 INVENTORY'!B:J,9,0),""))</f>
        <v/>
      </c>
      <c r="H57" s="35" t="str">
        <f aca="false">IF(OR(F57="",G57=""),"",F57*G57)</f>
        <v/>
      </c>
      <c r="I57" s="41"/>
      <c r="J57" s="41"/>
    </row>
    <row r="58" customFormat="false" ht="18" hidden="false" customHeight="true" outlineLevel="0" collapsed="false">
      <c r="B58" s="42"/>
      <c r="C58" s="43" t="str">
        <f aca="false">IF(B58="","",TEXT(B58,"DDD"))</f>
        <v/>
      </c>
      <c r="D58" s="13"/>
      <c r="E58" s="13"/>
      <c r="F58" s="14"/>
      <c r="G58" s="17" t="str">
        <f aca="false">IF(D58="","",IFERROR(VLOOKUP(D58,'📦 INVENTORY'!B:J,9,0),""))</f>
        <v/>
      </c>
      <c r="H58" s="44" t="str">
        <f aca="false">IF(OR(F58="",G58=""),"",F58*G58)</f>
        <v/>
      </c>
      <c r="I58" s="43"/>
      <c r="J58" s="43"/>
    </row>
    <row r="59" customFormat="false" ht="18" hidden="false" customHeight="true" outlineLevel="0" collapsed="false">
      <c r="B59" s="40"/>
      <c r="C59" s="41" t="str">
        <f aca="false">IF(B59="","",TEXT(B59,"DDD"))</f>
        <v/>
      </c>
      <c r="D59" s="10"/>
      <c r="E59" s="10"/>
      <c r="F59" s="11"/>
      <c r="G59" s="18" t="str">
        <f aca="false">IF(D59="","",IFERROR(VLOOKUP(D59,'📦 INVENTORY'!B:J,9,0),""))</f>
        <v/>
      </c>
      <c r="H59" s="35" t="str">
        <f aca="false">IF(OR(F59="",G59=""),"",F59*G59)</f>
        <v/>
      </c>
      <c r="I59" s="41"/>
      <c r="J59" s="41"/>
    </row>
    <row r="60" customFormat="false" ht="18" hidden="false" customHeight="true" outlineLevel="0" collapsed="false">
      <c r="B60" s="42"/>
      <c r="C60" s="43" t="str">
        <f aca="false">IF(B60="","",TEXT(B60,"DDD"))</f>
        <v/>
      </c>
      <c r="D60" s="13"/>
      <c r="E60" s="13"/>
      <c r="F60" s="14"/>
      <c r="G60" s="17" t="str">
        <f aca="false">IF(D60="","",IFERROR(VLOOKUP(D60,'📦 INVENTORY'!B:J,9,0),""))</f>
        <v/>
      </c>
      <c r="H60" s="44" t="str">
        <f aca="false">IF(OR(F60="",G60=""),"",F60*G60)</f>
        <v/>
      </c>
      <c r="I60" s="43"/>
      <c r="J60" s="43"/>
    </row>
    <row r="61" customFormat="false" ht="18" hidden="false" customHeight="true" outlineLevel="0" collapsed="false">
      <c r="B61" s="40"/>
      <c r="C61" s="41" t="str">
        <f aca="false">IF(B61="","",TEXT(B61,"DDD"))</f>
        <v/>
      </c>
      <c r="D61" s="10"/>
      <c r="E61" s="10"/>
      <c r="F61" s="11"/>
      <c r="G61" s="18" t="str">
        <f aca="false">IF(D61="","",IFERROR(VLOOKUP(D61,'📦 INVENTORY'!B:J,9,0),""))</f>
        <v/>
      </c>
      <c r="H61" s="35" t="str">
        <f aca="false">IF(OR(F61="",G61=""),"",F61*G61)</f>
        <v/>
      </c>
      <c r="I61" s="41"/>
      <c r="J61" s="41"/>
    </row>
    <row r="62" customFormat="false" ht="18" hidden="false" customHeight="true" outlineLevel="0" collapsed="false">
      <c r="B62" s="42"/>
      <c r="C62" s="43" t="str">
        <f aca="false">IF(B62="","",TEXT(B62,"DDD"))</f>
        <v/>
      </c>
      <c r="D62" s="13"/>
      <c r="E62" s="13"/>
      <c r="F62" s="14"/>
      <c r="G62" s="17" t="str">
        <f aca="false">IF(D62="","",IFERROR(VLOOKUP(D62,'📦 INVENTORY'!B:J,9,0),""))</f>
        <v/>
      </c>
      <c r="H62" s="44" t="str">
        <f aca="false">IF(OR(F62="",G62=""),"",F62*G62)</f>
        <v/>
      </c>
      <c r="I62" s="43"/>
      <c r="J62" s="43"/>
    </row>
    <row r="63" customFormat="false" ht="18" hidden="false" customHeight="true" outlineLevel="0" collapsed="false">
      <c r="B63" s="40"/>
      <c r="C63" s="41" t="str">
        <f aca="false">IF(B63="","",TEXT(B63,"DDD"))</f>
        <v/>
      </c>
      <c r="D63" s="10"/>
      <c r="E63" s="10"/>
      <c r="F63" s="11"/>
      <c r="G63" s="18" t="str">
        <f aca="false">IF(D63="","",IFERROR(VLOOKUP(D63,'📦 INVENTORY'!B:J,9,0),""))</f>
        <v/>
      </c>
      <c r="H63" s="35" t="str">
        <f aca="false">IF(OR(F63="",G63=""),"",F63*G63)</f>
        <v/>
      </c>
      <c r="I63" s="41"/>
      <c r="J63" s="41"/>
    </row>
    <row r="64" customFormat="false" ht="18" hidden="false" customHeight="true" outlineLevel="0" collapsed="false">
      <c r="B64" s="42"/>
      <c r="C64" s="43" t="str">
        <f aca="false">IF(B64="","",TEXT(B64,"DDD"))</f>
        <v/>
      </c>
      <c r="D64" s="13"/>
      <c r="E64" s="13"/>
      <c r="F64" s="14"/>
      <c r="G64" s="17" t="str">
        <f aca="false">IF(D64="","",IFERROR(VLOOKUP(D64,'📦 INVENTORY'!B:J,9,0),""))</f>
        <v/>
      </c>
      <c r="H64" s="44" t="str">
        <f aca="false">IF(OR(F64="",G64=""),"",F64*G64)</f>
        <v/>
      </c>
      <c r="I64" s="43"/>
      <c r="J64" s="43"/>
    </row>
    <row r="65" customFormat="false" ht="18" hidden="false" customHeight="true" outlineLevel="0" collapsed="false">
      <c r="B65" s="40"/>
      <c r="C65" s="41" t="str">
        <f aca="false">IF(B65="","",TEXT(B65,"DDD"))</f>
        <v/>
      </c>
      <c r="D65" s="10"/>
      <c r="E65" s="10"/>
      <c r="F65" s="11"/>
      <c r="G65" s="18" t="str">
        <f aca="false">IF(D65="","",IFERROR(VLOOKUP(D65,'📦 INVENTORY'!B:J,9,0),""))</f>
        <v/>
      </c>
      <c r="H65" s="35" t="str">
        <f aca="false">IF(OR(F65="",G65=""),"",F65*G65)</f>
        <v/>
      </c>
      <c r="I65" s="41"/>
      <c r="J65" s="41"/>
    </row>
    <row r="66" customFormat="false" ht="18" hidden="false" customHeight="true" outlineLevel="0" collapsed="false">
      <c r="B66" s="42"/>
      <c r="C66" s="43" t="str">
        <f aca="false">IF(B66="","",TEXT(B66,"DDD"))</f>
        <v/>
      </c>
      <c r="D66" s="13"/>
      <c r="E66" s="13"/>
      <c r="F66" s="14"/>
      <c r="G66" s="17" t="str">
        <f aca="false">IF(D66="","",IFERROR(VLOOKUP(D66,'📦 INVENTORY'!B:J,9,0),""))</f>
        <v/>
      </c>
      <c r="H66" s="44" t="str">
        <f aca="false">IF(OR(F66="",G66=""),"",F66*G66)</f>
        <v/>
      </c>
      <c r="I66" s="43"/>
      <c r="J66" s="43"/>
    </row>
    <row r="67" customFormat="false" ht="18" hidden="false" customHeight="true" outlineLevel="0" collapsed="false">
      <c r="B67" s="40"/>
      <c r="C67" s="41" t="str">
        <f aca="false">IF(B67="","",TEXT(B67,"DDD"))</f>
        <v/>
      </c>
      <c r="D67" s="10"/>
      <c r="E67" s="10"/>
      <c r="F67" s="11"/>
      <c r="G67" s="18" t="str">
        <f aca="false">IF(D67="","",IFERROR(VLOOKUP(D67,'📦 INVENTORY'!B:J,9,0),""))</f>
        <v/>
      </c>
      <c r="H67" s="35" t="str">
        <f aca="false">IF(OR(F67="",G67=""),"",F67*G67)</f>
        <v/>
      </c>
      <c r="I67" s="41"/>
      <c r="J67" s="41"/>
    </row>
    <row r="68" customFormat="false" ht="18" hidden="false" customHeight="true" outlineLevel="0" collapsed="false">
      <c r="B68" s="42"/>
      <c r="C68" s="43" t="str">
        <f aca="false">IF(B68="","",TEXT(B68,"DDD"))</f>
        <v/>
      </c>
      <c r="D68" s="13"/>
      <c r="E68" s="13"/>
      <c r="F68" s="14"/>
      <c r="G68" s="17" t="str">
        <f aca="false">IF(D68="","",IFERROR(VLOOKUP(D68,'📦 INVENTORY'!B:J,9,0),""))</f>
        <v/>
      </c>
      <c r="H68" s="44" t="str">
        <f aca="false">IF(OR(F68="",G68=""),"",F68*G68)</f>
        <v/>
      </c>
      <c r="I68" s="43"/>
      <c r="J68" s="43"/>
    </row>
    <row r="69" customFormat="false" ht="18" hidden="false" customHeight="true" outlineLevel="0" collapsed="false">
      <c r="B69" s="40"/>
      <c r="C69" s="41" t="str">
        <f aca="false">IF(B69="","",TEXT(B69,"DDD"))</f>
        <v/>
      </c>
      <c r="D69" s="10"/>
      <c r="E69" s="10"/>
      <c r="F69" s="11"/>
      <c r="G69" s="18" t="str">
        <f aca="false">IF(D69="","",IFERROR(VLOOKUP(D69,'📦 INVENTORY'!B:J,9,0),""))</f>
        <v/>
      </c>
      <c r="H69" s="35" t="str">
        <f aca="false">IF(OR(F69="",G69=""),"",F69*G69)</f>
        <v/>
      </c>
      <c r="I69" s="41"/>
      <c r="J69" s="41"/>
    </row>
    <row r="70" customFormat="false" ht="18" hidden="false" customHeight="true" outlineLevel="0" collapsed="false">
      <c r="B70" s="42"/>
      <c r="C70" s="43" t="str">
        <f aca="false">IF(B70="","",TEXT(B70,"DDD"))</f>
        <v/>
      </c>
      <c r="D70" s="13"/>
      <c r="E70" s="13"/>
      <c r="F70" s="14"/>
      <c r="G70" s="17" t="str">
        <f aca="false">IF(D70="","",IFERROR(VLOOKUP(D70,'📦 INVENTORY'!B:J,9,0),""))</f>
        <v/>
      </c>
      <c r="H70" s="44" t="str">
        <f aca="false">IF(OR(F70="",G70=""),"",F70*G70)</f>
        <v/>
      </c>
      <c r="I70" s="43"/>
      <c r="J70" s="43"/>
    </row>
    <row r="71" customFormat="false" ht="18" hidden="false" customHeight="true" outlineLevel="0" collapsed="false">
      <c r="B71" s="40"/>
      <c r="C71" s="41" t="str">
        <f aca="false">IF(B71="","",TEXT(B71,"DDD"))</f>
        <v/>
      </c>
      <c r="D71" s="10"/>
      <c r="E71" s="10"/>
      <c r="F71" s="11"/>
      <c r="G71" s="18" t="str">
        <f aca="false">IF(D71="","",IFERROR(VLOOKUP(D71,'📦 INVENTORY'!B:J,9,0),""))</f>
        <v/>
      </c>
      <c r="H71" s="35" t="str">
        <f aca="false">IF(OR(F71="",G71=""),"",F71*G71)</f>
        <v/>
      </c>
      <c r="I71" s="41"/>
      <c r="J71" s="41"/>
    </row>
    <row r="72" customFormat="false" ht="18" hidden="false" customHeight="true" outlineLevel="0" collapsed="false">
      <c r="B72" s="42"/>
      <c r="C72" s="43" t="str">
        <f aca="false">IF(B72="","",TEXT(B72,"DDD"))</f>
        <v/>
      </c>
      <c r="D72" s="13"/>
      <c r="E72" s="13"/>
      <c r="F72" s="14"/>
      <c r="G72" s="17" t="str">
        <f aca="false">IF(D72="","",IFERROR(VLOOKUP(D72,'📦 INVENTORY'!B:J,9,0),""))</f>
        <v/>
      </c>
      <c r="H72" s="44" t="str">
        <f aca="false">IF(OR(F72="",G72=""),"",F72*G72)</f>
        <v/>
      </c>
      <c r="I72" s="43"/>
      <c r="J72" s="43"/>
    </row>
    <row r="73" customFormat="false" ht="18" hidden="false" customHeight="true" outlineLevel="0" collapsed="false">
      <c r="B73" s="40"/>
      <c r="C73" s="41" t="str">
        <f aca="false">IF(B73="","",TEXT(B73,"DDD"))</f>
        <v/>
      </c>
      <c r="D73" s="10"/>
      <c r="E73" s="10"/>
      <c r="F73" s="11"/>
      <c r="G73" s="18" t="str">
        <f aca="false">IF(D73="","",IFERROR(VLOOKUP(D73,'📦 INVENTORY'!B:J,9,0),""))</f>
        <v/>
      </c>
      <c r="H73" s="35" t="str">
        <f aca="false">IF(OR(F73="",G73=""),"",F73*G73)</f>
        <v/>
      </c>
      <c r="I73" s="41"/>
      <c r="J73" s="41"/>
    </row>
    <row r="74" customFormat="false" ht="18" hidden="false" customHeight="true" outlineLevel="0" collapsed="false">
      <c r="B74" s="42"/>
      <c r="C74" s="43" t="str">
        <f aca="false">IF(B74="","",TEXT(B74,"DDD"))</f>
        <v/>
      </c>
      <c r="D74" s="13"/>
      <c r="E74" s="13"/>
      <c r="F74" s="14"/>
      <c r="G74" s="17" t="str">
        <f aca="false">IF(D74="","",IFERROR(VLOOKUP(D74,'📦 INVENTORY'!B:J,9,0),""))</f>
        <v/>
      </c>
      <c r="H74" s="44" t="str">
        <f aca="false">IF(OR(F74="",G74=""),"",F74*G74)</f>
        <v/>
      </c>
      <c r="I74" s="43"/>
      <c r="J74" s="43"/>
    </row>
    <row r="75" customFormat="false" ht="18" hidden="false" customHeight="true" outlineLevel="0" collapsed="false">
      <c r="B75" s="40"/>
      <c r="C75" s="41" t="str">
        <f aca="false">IF(B75="","",TEXT(B75,"DDD"))</f>
        <v/>
      </c>
      <c r="D75" s="10"/>
      <c r="E75" s="10"/>
      <c r="F75" s="11"/>
      <c r="G75" s="18" t="str">
        <f aca="false">IF(D75="","",IFERROR(VLOOKUP(D75,'📦 INVENTORY'!B:J,9,0),""))</f>
        <v/>
      </c>
      <c r="H75" s="35" t="str">
        <f aca="false">IF(OR(F75="",G75=""),"",F75*G75)</f>
        <v/>
      </c>
      <c r="I75" s="41"/>
      <c r="J75" s="41"/>
    </row>
    <row r="76" customFormat="false" ht="18" hidden="false" customHeight="true" outlineLevel="0" collapsed="false">
      <c r="B76" s="42"/>
      <c r="C76" s="43" t="str">
        <f aca="false">IF(B76="","",TEXT(B76,"DDD"))</f>
        <v/>
      </c>
      <c r="D76" s="13"/>
      <c r="E76" s="13"/>
      <c r="F76" s="14"/>
      <c r="G76" s="17" t="str">
        <f aca="false">IF(D76="","",IFERROR(VLOOKUP(D76,'📦 INVENTORY'!B:J,9,0),""))</f>
        <v/>
      </c>
      <c r="H76" s="44" t="str">
        <f aca="false">IF(OR(F76="",G76=""),"",F76*G76)</f>
        <v/>
      </c>
      <c r="I76" s="43"/>
      <c r="J76" s="43"/>
    </row>
    <row r="77" customFormat="false" ht="18" hidden="false" customHeight="true" outlineLevel="0" collapsed="false">
      <c r="B77" s="40"/>
      <c r="C77" s="41" t="str">
        <f aca="false">IF(B77="","",TEXT(B77,"DDD"))</f>
        <v/>
      </c>
      <c r="D77" s="10"/>
      <c r="E77" s="10"/>
      <c r="F77" s="11"/>
      <c r="G77" s="18" t="str">
        <f aca="false">IF(D77="","",IFERROR(VLOOKUP(D77,'📦 INVENTORY'!B:J,9,0),""))</f>
        <v/>
      </c>
      <c r="H77" s="35" t="str">
        <f aca="false">IF(OR(F77="",G77=""),"",F77*G77)</f>
        <v/>
      </c>
      <c r="I77" s="41"/>
      <c r="J77" s="41"/>
    </row>
    <row r="78" customFormat="false" ht="18" hidden="false" customHeight="true" outlineLevel="0" collapsed="false">
      <c r="B78" s="42"/>
      <c r="C78" s="43" t="str">
        <f aca="false">IF(B78="","",TEXT(B78,"DDD"))</f>
        <v/>
      </c>
      <c r="D78" s="13"/>
      <c r="E78" s="13"/>
      <c r="F78" s="14"/>
      <c r="G78" s="17" t="str">
        <f aca="false">IF(D78="","",IFERROR(VLOOKUP(D78,'📦 INVENTORY'!B:J,9,0),""))</f>
        <v/>
      </c>
      <c r="H78" s="44" t="str">
        <f aca="false">IF(OR(F78="",G78=""),"",F78*G78)</f>
        <v/>
      </c>
      <c r="I78" s="43"/>
      <c r="J78" s="43"/>
    </row>
    <row r="79" customFormat="false" ht="18" hidden="false" customHeight="true" outlineLevel="0" collapsed="false">
      <c r="B79" s="40"/>
      <c r="C79" s="41" t="str">
        <f aca="false">IF(B79="","",TEXT(B79,"DDD"))</f>
        <v/>
      </c>
      <c r="D79" s="10"/>
      <c r="E79" s="10"/>
      <c r="F79" s="11"/>
      <c r="G79" s="18" t="str">
        <f aca="false">IF(D79="","",IFERROR(VLOOKUP(D79,'📦 INVENTORY'!B:J,9,0),""))</f>
        <v/>
      </c>
      <c r="H79" s="35" t="str">
        <f aca="false">IF(OR(F79="",G79=""),"",F79*G79)</f>
        <v/>
      </c>
      <c r="I79" s="41"/>
      <c r="J79" s="41"/>
    </row>
    <row r="80" customFormat="false" ht="18" hidden="false" customHeight="true" outlineLevel="0" collapsed="false">
      <c r="B80" s="42"/>
      <c r="C80" s="43" t="str">
        <f aca="false">IF(B80="","",TEXT(B80,"DDD"))</f>
        <v/>
      </c>
      <c r="D80" s="13"/>
      <c r="E80" s="13"/>
      <c r="F80" s="14"/>
      <c r="G80" s="17" t="str">
        <f aca="false">IF(D80="","",IFERROR(VLOOKUP(D80,'📦 INVENTORY'!B:J,9,0),""))</f>
        <v/>
      </c>
      <c r="H80" s="44" t="str">
        <f aca="false">IF(OR(F80="",G80=""),"",F80*G80)</f>
        <v/>
      </c>
      <c r="I80" s="43"/>
      <c r="J80" s="43"/>
    </row>
    <row r="81" customFormat="false" ht="18" hidden="false" customHeight="true" outlineLevel="0" collapsed="false">
      <c r="B81" s="40"/>
      <c r="C81" s="41" t="str">
        <f aca="false">IF(B81="","",TEXT(B81,"DDD"))</f>
        <v/>
      </c>
      <c r="D81" s="10"/>
      <c r="E81" s="10"/>
      <c r="F81" s="11"/>
      <c r="G81" s="18" t="str">
        <f aca="false">IF(D81="","",IFERROR(VLOOKUP(D81,'📦 INVENTORY'!B:J,9,0),""))</f>
        <v/>
      </c>
      <c r="H81" s="35" t="str">
        <f aca="false">IF(OR(F81="",G81=""),"",F81*G81)</f>
        <v/>
      </c>
      <c r="I81" s="41"/>
      <c r="J81" s="41"/>
    </row>
    <row r="82" customFormat="false" ht="18" hidden="false" customHeight="true" outlineLevel="0" collapsed="false">
      <c r="B82" s="42"/>
      <c r="C82" s="43" t="str">
        <f aca="false">IF(B82="","",TEXT(B82,"DDD"))</f>
        <v/>
      </c>
      <c r="D82" s="13"/>
      <c r="E82" s="13"/>
      <c r="F82" s="14"/>
      <c r="G82" s="17" t="str">
        <f aca="false">IF(D82="","",IFERROR(VLOOKUP(D82,'📦 INVENTORY'!B:J,9,0),""))</f>
        <v/>
      </c>
      <c r="H82" s="44" t="str">
        <f aca="false">IF(OR(F82="",G82=""),"",F82*G82)</f>
        <v/>
      </c>
      <c r="I82" s="43"/>
      <c r="J82" s="43"/>
    </row>
    <row r="83" customFormat="false" ht="18" hidden="false" customHeight="true" outlineLevel="0" collapsed="false">
      <c r="B83" s="40"/>
      <c r="C83" s="41" t="str">
        <f aca="false">IF(B83="","",TEXT(B83,"DDD"))</f>
        <v/>
      </c>
      <c r="D83" s="10"/>
      <c r="E83" s="10"/>
      <c r="F83" s="11"/>
      <c r="G83" s="18" t="str">
        <f aca="false">IF(D83="","",IFERROR(VLOOKUP(D83,'📦 INVENTORY'!B:J,9,0),""))</f>
        <v/>
      </c>
      <c r="H83" s="35" t="str">
        <f aca="false">IF(OR(F83="",G83=""),"",F83*G83)</f>
        <v/>
      </c>
      <c r="I83" s="41"/>
      <c r="J83" s="41"/>
    </row>
    <row r="84" customFormat="false" ht="18" hidden="false" customHeight="true" outlineLevel="0" collapsed="false">
      <c r="B84" s="42"/>
      <c r="C84" s="43" t="str">
        <f aca="false">IF(B84="","",TEXT(B84,"DDD"))</f>
        <v/>
      </c>
      <c r="D84" s="13"/>
      <c r="E84" s="13"/>
      <c r="F84" s="14"/>
      <c r="G84" s="17" t="str">
        <f aca="false">IF(D84="","",IFERROR(VLOOKUP(D84,'📦 INVENTORY'!B:J,9,0),""))</f>
        <v/>
      </c>
      <c r="H84" s="44" t="str">
        <f aca="false">IF(OR(F84="",G84=""),"",F84*G84)</f>
        <v/>
      </c>
      <c r="I84" s="43"/>
      <c r="J84" s="43"/>
    </row>
    <row r="85" customFormat="false" ht="18" hidden="false" customHeight="true" outlineLevel="0" collapsed="false">
      <c r="B85" s="40"/>
      <c r="C85" s="41" t="str">
        <f aca="false">IF(B85="","",TEXT(B85,"DDD"))</f>
        <v/>
      </c>
      <c r="D85" s="10"/>
      <c r="E85" s="10"/>
      <c r="F85" s="11"/>
      <c r="G85" s="18" t="str">
        <f aca="false">IF(D85="","",IFERROR(VLOOKUP(D85,'📦 INVENTORY'!B:J,9,0),""))</f>
        <v/>
      </c>
      <c r="H85" s="35" t="str">
        <f aca="false">IF(OR(F85="",G85=""),"",F85*G85)</f>
        <v/>
      </c>
      <c r="I85" s="41"/>
      <c r="J85" s="41"/>
    </row>
    <row r="86" customFormat="false" ht="18" hidden="false" customHeight="true" outlineLevel="0" collapsed="false">
      <c r="B86" s="42"/>
      <c r="C86" s="43" t="str">
        <f aca="false">IF(B86="","",TEXT(B86,"DDD"))</f>
        <v/>
      </c>
      <c r="D86" s="13"/>
      <c r="E86" s="13"/>
      <c r="F86" s="14"/>
      <c r="G86" s="17" t="str">
        <f aca="false">IF(D86="","",IFERROR(VLOOKUP(D86,'📦 INVENTORY'!B:J,9,0),""))</f>
        <v/>
      </c>
      <c r="H86" s="44" t="str">
        <f aca="false">IF(OR(F86="",G86=""),"",F86*G86)</f>
        <v/>
      </c>
      <c r="I86" s="43"/>
      <c r="J86" s="43"/>
    </row>
    <row r="87" customFormat="false" ht="18" hidden="false" customHeight="true" outlineLevel="0" collapsed="false">
      <c r="B87" s="40"/>
      <c r="C87" s="41" t="str">
        <f aca="false">IF(B87="","",TEXT(B87,"DDD"))</f>
        <v/>
      </c>
      <c r="D87" s="10"/>
      <c r="E87" s="10"/>
      <c r="F87" s="11"/>
      <c r="G87" s="18" t="str">
        <f aca="false">IF(D87="","",IFERROR(VLOOKUP(D87,'📦 INVENTORY'!B:J,9,0),""))</f>
        <v/>
      </c>
      <c r="H87" s="35" t="str">
        <f aca="false">IF(OR(F87="",G87=""),"",F87*G87)</f>
        <v/>
      </c>
      <c r="I87" s="41"/>
      <c r="J87" s="41"/>
    </row>
    <row r="88" customFormat="false" ht="18" hidden="false" customHeight="true" outlineLevel="0" collapsed="false">
      <c r="B88" s="42"/>
      <c r="C88" s="43" t="str">
        <f aca="false">IF(B88="","",TEXT(B88,"DDD"))</f>
        <v/>
      </c>
      <c r="D88" s="13"/>
      <c r="E88" s="13"/>
      <c r="F88" s="14"/>
      <c r="G88" s="17" t="str">
        <f aca="false">IF(D88="","",IFERROR(VLOOKUP(D88,'📦 INVENTORY'!B:J,9,0),""))</f>
        <v/>
      </c>
      <c r="H88" s="44" t="str">
        <f aca="false">IF(OR(F88="",G88=""),"",F88*G88)</f>
        <v/>
      </c>
      <c r="I88" s="43"/>
      <c r="J88" s="43"/>
    </row>
    <row r="89" customFormat="false" ht="18" hidden="false" customHeight="true" outlineLevel="0" collapsed="false">
      <c r="B89" s="40"/>
      <c r="C89" s="41" t="str">
        <f aca="false">IF(B89="","",TEXT(B89,"DDD"))</f>
        <v/>
      </c>
      <c r="D89" s="10"/>
      <c r="E89" s="10"/>
      <c r="F89" s="11"/>
      <c r="G89" s="18" t="str">
        <f aca="false">IF(D89="","",IFERROR(VLOOKUP(D89,'📦 INVENTORY'!B:J,9,0),""))</f>
        <v/>
      </c>
      <c r="H89" s="35" t="str">
        <f aca="false">IF(OR(F89="",G89=""),"",F89*G89)</f>
        <v/>
      </c>
      <c r="I89" s="41"/>
      <c r="J89" s="41"/>
    </row>
    <row r="90" customFormat="false" ht="18" hidden="false" customHeight="true" outlineLevel="0" collapsed="false">
      <c r="B90" s="42"/>
      <c r="C90" s="43" t="str">
        <f aca="false">IF(B90="","",TEXT(B90,"DDD"))</f>
        <v/>
      </c>
      <c r="D90" s="13"/>
      <c r="E90" s="13"/>
      <c r="F90" s="14"/>
      <c r="G90" s="17" t="str">
        <f aca="false">IF(D90="","",IFERROR(VLOOKUP(D90,'📦 INVENTORY'!B:J,9,0),""))</f>
        <v/>
      </c>
      <c r="H90" s="44" t="str">
        <f aca="false">IF(OR(F90="",G90=""),"",F90*G90)</f>
        <v/>
      </c>
      <c r="I90" s="43"/>
      <c r="J90" s="43"/>
    </row>
    <row r="91" customFormat="false" ht="18" hidden="false" customHeight="true" outlineLevel="0" collapsed="false">
      <c r="B91" s="40"/>
      <c r="C91" s="41" t="str">
        <f aca="false">IF(B91="","",TEXT(B91,"DDD"))</f>
        <v/>
      </c>
      <c r="D91" s="10"/>
      <c r="E91" s="10"/>
      <c r="F91" s="11"/>
      <c r="G91" s="18" t="str">
        <f aca="false">IF(D91="","",IFERROR(VLOOKUP(D91,'📦 INVENTORY'!B:J,9,0),""))</f>
        <v/>
      </c>
      <c r="H91" s="35" t="str">
        <f aca="false">IF(OR(F91="",G91=""),"",F91*G91)</f>
        <v/>
      </c>
      <c r="I91" s="41"/>
      <c r="J91" s="41"/>
    </row>
    <row r="92" customFormat="false" ht="18" hidden="false" customHeight="true" outlineLevel="0" collapsed="false">
      <c r="B92" s="42"/>
      <c r="C92" s="43" t="str">
        <f aca="false">IF(B92="","",TEXT(B92,"DDD"))</f>
        <v/>
      </c>
      <c r="D92" s="13"/>
      <c r="E92" s="13"/>
      <c r="F92" s="14"/>
      <c r="G92" s="17" t="str">
        <f aca="false">IF(D92="","",IFERROR(VLOOKUP(D92,'📦 INVENTORY'!B:J,9,0),""))</f>
        <v/>
      </c>
      <c r="H92" s="44" t="str">
        <f aca="false">IF(OR(F92="",G92=""),"",F92*G92)</f>
        <v/>
      </c>
      <c r="I92" s="43"/>
      <c r="J92" s="43"/>
    </row>
    <row r="93" customFormat="false" ht="18" hidden="false" customHeight="true" outlineLevel="0" collapsed="false">
      <c r="B93" s="40"/>
      <c r="C93" s="41" t="str">
        <f aca="false">IF(B93="","",TEXT(B93,"DDD"))</f>
        <v/>
      </c>
      <c r="D93" s="10"/>
      <c r="E93" s="10"/>
      <c r="F93" s="11"/>
      <c r="G93" s="18" t="str">
        <f aca="false">IF(D93="","",IFERROR(VLOOKUP(D93,'📦 INVENTORY'!B:J,9,0),""))</f>
        <v/>
      </c>
      <c r="H93" s="35" t="str">
        <f aca="false">IF(OR(F93="",G93=""),"",F93*G93)</f>
        <v/>
      </c>
      <c r="I93" s="41"/>
      <c r="J93" s="41"/>
    </row>
    <row r="94" customFormat="false" ht="18" hidden="false" customHeight="true" outlineLevel="0" collapsed="false">
      <c r="B94" s="42"/>
      <c r="C94" s="43" t="str">
        <f aca="false">IF(B94="","",TEXT(B94,"DDD"))</f>
        <v/>
      </c>
      <c r="D94" s="13"/>
      <c r="E94" s="13"/>
      <c r="F94" s="14"/>
      <c r="G94" s="17" t="str">
        <f aca="false">IF(D94="","",IFERROR(VLOOKUP(D94,'📦 INVENTORY'!B:J,9,0),""))</f>
        <v/>
      </c>
      <c r="H94" s="44" t="str">
        <f aca="false">IF(OR(F94="",G94=""),"",F94*G94)</f>
        <v/>
      </c>
      <c r="I94" s="43"/>
      <c r="J94" s="43"/>
    </row>
    <row r="95" customFormat="false" ht="18" hidden="false" customHeight="true" outlineLevel="0" collapsed="false">
      <c r="B95" s="40"/>
      <c r="C95" s="41" t="str">
        <f aca="false">IF(B95="","",TEXT(B95,"DDD"))</f>
        <v/>
      </c>
      <c r="D95" s="10"/>
      <c r="E95" s="10"/>
      <c r="F95" s="11"/>
      <c r="G95" s="18" t="str">
        <f aca="false">IF(D95="","",IFERROR(VLOOKUP(D95,'📦 INVENTORY'!B:J,9,0),""))</f>
        <v/>
      </c>
      <c r="H95" s="35" t="str">
        <f aca="false">IF(OR(F95="",G95=""),"",F95*G95)</f>
        <v/>
      </c>
      <c r="I95" s="41"/>
      <c r="J95" s="41"/>
    </row>
    <row r="96" customFormat="false" ht="18" hidden="false" customHeight="true" outlineLevel="0" collapsed="false">
      <c r="B96" s="42"/>
      <c r="C96" s="43" t="str">
        <f aca="false">IF(B96="","",TEXT(B96,"DDD"))</f>
        <v/>
      </c>
      <c r="D96" s="13"/>
      <c r="E96" s="13"/>
      <c r="F96" s="14"/>
      <c r="G96" s="17" t="str">
        <f aca="false">IF(D96="","",IFERROR(VLOOKUP(D96,'📦 INVENTORY'!B:J,9,0),""))</f>
        <v/>
      </c>
      <c r="H96" s="44" t="str">
        <f aca="false">IF(OR(F96="",G96=""),"",F96*G96)</f>
        <v/>
      </c>
      <c r="I96" s="43"/>
      <c r="J96" s="43"/>
    </row>
    <row r="97" customFormat="false" ht="18" hidden="false" customHeight="true" outlineLevel="0" collapsed="false">
      <c r="B97" s="40"/>
      <c r="C97" s="41" t="str">
        <f aca="false">IF(B97="","",TEXT(B97,"DDD"))</f>
        <v/>
      </c>
      <c r="D97" s="10"/>
      <c r="E97" s="10"/>
      <c r="F97" s="11"/>
      <c r="G97" s="18" t="str">
        <f aca="false">IF(D97="","",IFERROR(VLOOKUP(D97,'📦 INVENTORY'!B:J,9,0),""))</f>
        <v/>
      </c>
      <c r="H97" s="35" t="str">
        <f aca="false">IF(OR(F97="",G97=""),"",F97*G97)</f>
        <v/>
      </c>
      <c r="I97" s="41"/>
      <c r="J97" s="41"/>
    </row>
    <row r="98" customFormat="false" ht="18" hidden="false" customHeight="true" outlineLevel="0" collapsed="false">
      <c r="B98" s="42"/>
      <c r="C98" s="43" t="str">
        <f aca="false">IF(B98="","",TEXT(B98,"DDD"))</f>
        <v/>
      </c>
      <c r="D98" s="13"/>
      <c r="E98" s="13"/>
      <c r="F98" s="14"/>
      <c r="G98" s="17" t="str">
        <f aca="false">IF(D98="","",IFERROR(VLOOKUP(D98,'📦 INVENTORY'!B:J,9,0),""))</f>
        <v/>
      </c>
      <c r="H98" s="44" t="str">
        <f aca="false">IF(OR(F98="",G98=""),"",F98*G98)</f>
        <v/>
      </c>
      <c r="I98" s="43"/>
      <c r="J98" s="43"/>
    </row>
    <row r="99" customFormat="false" ht="18" hidden="false" customHeight="true" outlineLevel="0" collapsed="false">
      <c r="B99" s="40"/>
      <c r="C99" s="41" t="str">
        <f aca="false">IF(B99="","",TEXT(B99,"DDD"))</f>
        <v/>
      </c>
      <c r="D99" s="10"/>
      <c r="E99" s="10"/>
      <c r="F99" s="11"/>
      <c r="G99" s="18" t="str">
        <f aca="false">IF(D99="","",IFERROR(VLOOKUP(D99,'📦 INVENTORY'!B:J,9,0),""))</f>
        <v/>
      </c>
      <c r="H99" s="35" t="str">
        <f aca="false">IF(OR(F99="",G99=""),"",F99*G99)</f>
        <v/>
      </c>
      <c r="I99" s="41"/>
      <c r="J99" s="41"/>
    </row>
    <row r="100" customFormat="false" ht="18" hidden="false" customHeight="true" outlineLevel="0" collapsed="false">
      <c r="B100" s="42"/>
      <c r="C100" s="43" t="str">
        <f aca="false">IF(B100="","",TEXT(B100,"DDD"))</f>
        <v/>
      </c>
      <c r="D100" s="13"/>
      <c r="E100" s="13"/>
      <c r="F100" s="14"/>
      <c r="G100" s="17" t="str">
        <f aca="false">IF(D100="","",IFERROR(VLOOKUP(D100,'📦 INVENTORY'!B:J,9,0),""))</f>
        <v/>
      </c>
      <c r="H100" s="44" t="str">
        <f aca="false">IF(OR(F100="",G100=""),"",F100*G100)</f>
        <v/>
      </c>
      <c r="I100" s="43"/>
      <c r="J100" s="43"/>
    </row>
    <row r="101" customFormat="false" ht="18" hidden="false" customHeight="true" outlineLevel="0" collapsed="false">
      <c r="B101" s="40"/>
      <c r="C101" s="41" t="str">
        <f aca="false">IF(B101="","",TEXT(B101,"DDD"))</f>
        <v/>
      </c>
      <c r="D101" s="10"/>
      <c r="E101" s="10"/>
      <c r="F101" s="11"/>
      <c r="G101" s="18" t="str">
        <f aca="false">IF(D101="","",IFERROR(VLOOKUP(D101,'📦 INVENTORY'!B:J,9,0),""))</f>
        <v/>
      </c>
      <c r="H101" s="35" t="str">
        <f aca="false">IF(OR(F101="",G101=""),"",F101*G101)</f>
        <v/>
      </c>
      <c r="I101" s="41"/>
      <c r="J101" s="41"/>
    </row>
    <row r="102" customFormat="false" ht="18" hidden="false" customHeight="true" outlineLevel="0" collapsed="false">
      <c r="B102" s="42"/>
      <c r="C102" s="43" t="str">
        <f aca="false">IF(B102="","",TEXT(B102,"DDD"))</f>
        <v/>
      </c>
      <c r="D102" s="13"/>
      <c r="E102" s="13"/>
      <c r="F102" s="14"/>
      <c r="G102" s="17" t="str">
        <f aca="false">IF(D102="","",IFERROR(VLOOKUP(D102,'📦 INVENTORY'!B:J,9,0),""))</f>
        <v/>
      </c>
      <c r="H102" s="44" t="str">
        <f aca="false">IF(OR(F102="",G102=""),"",F102*G102)</f>
        <v/>
      </c>
      <c r="I102" s="43"/>
      <c r="J102" s="43"/>
    </row>
    <row r="103" customFormat="false" ht="18" hidden="false" customHeight="true" outlineLevel="0" collapsed="false">
      <c r="B103" s="40"/>
      <c r="C103" s="41" t="str">
        <f aca="false">IF(B103="","",TEXT(B103,"DDD"))</f>
        <v/>
      </c>
      <c r="D103" s="10"/>
      <c r="E103" s="10"/>
      <c r="F103" s="11"/>
      <c r="G103" s="18" t="str">
        <f aca="false">IF(D103="","",IFERROR(VLOOKUP(D103,'📦 INVENTORY'!B:J,9,0),""))</f>
        <v/>
      </c>
      <c r="H103" s="35" t="str">
        <f aca="false">IF(OR(F103="",G103=""),"",F103*G103)</f>
        <v/>
      </c>
      <c r="I103" s="41"/>
      <c r="J103" s="41"/>
    </row>
    <row r="104" customFormat="false" ht="18" hidden="false" customHeight="true" outlineLevel="0" collapsed="false">
      <c r="B104" s="42"/>
      <c r="C104" s="43" t="str">
        <f aca="false">IF(B104="","",TEXT(B104,"DDD"))</f>
        <v/>
      </c>
      <c r="D104" s="13"/>
      <c r="E104" s="13"/>
      <c r="F104" s="14"/>
      <c r="G104" s="17" t="str">
        <f aca="false">IF(D104="","",IFERROR(VLOOKUP(D104,'📦 INVENTORY'!B:J,9,0),""))</f>
        <v/>
      </c>
      <c r="H104" s="44" t="str">
        <f aca="false">IF(OR(F104="",G104=""),"",F104*G104)</f>
        <v/>
      </c>
      <c r="I104" s="43"/>
      <c r="J104" s="43"/>
    </row>
    <row r="105" customFormat="false" ht="18" hidden="false" customHeight="true" outlineLevel="0" collapsed="false">
      <c r="B105" s="40"/>
      <c r="C105" s="41" t="str">
        <f aca="false">IF(B105="","",TEXT(B105,"DDD"))</f>
        <v/>
      </c>
      <c r="D105" s="10"/>
      <c r="E105" s="10"/>
      <c r="F105" s="11"/>
      <c r="G105" s="18" t="str">
        <f aca="false">IF(D105="","",IFERROR(VLOOKUP(D105,'📦 INVENTORY'!B:J,9,0),""))</f>
        <v/>
      </c>
      <c r="H105" s="35" t="str">
        <f aca="false">IF(OR(F105="",G105=""),"",F105*G105)</f>
        <v/>
      </c>
      <c r="I105" s="41"/>
      <c r="J105" s="41"/>
    </row>
    <row r="106" customFormat="false" ht="18" hidden="false" customHeight="true" outlineLevel="0" collapsed="false">
      <c r="B106" s="42"/>
      <c r="C106" s="43" t="str">
        <f aca="false">IF(B106="","",TEXT(B106,"DDD"))</f>
        <v/>
      </c>
      <c r="D106" s="13"/>
      <c r="E106" s="13"/>
      <c r="F106" s="14"/>
      <c r="G106" s="17" t="str">
        <f aca="false">IF(D106="","",IFERROR(VLOOKUP(D106,'📦 INVENTORY'!B:J,9,0),""))</f>
        <v/>
      </c>
      <c r="H106" s="44" t="str">
        <f aca="false">IF(OR(F106="",G106=""),"",F106*G106)</f>
        <v/>
      </c>
      <c r="I106" s="43"/>
      <c r="J106" s="43"/>
    </row>
    <row r="107" customFormat="false" ht="18" hidden="false" customHeight="true" outlineLevel="0" collapsed="false">
      <c r="B107" s="40"/>
      <c r="C107" s="41" t="str">
        <f aca="false">IF(B107="","",TEXT(B107,"DDD"))</f>
        <v/>
      </c>
      <c r="D107" s="10"/>
      <c r="E107" s="10"/>
      <c r="F107" s="11"/>
      <c r="G107" s="18" t="str">
        <f aca="false">IF(D107="","",IFERROR(VLOOKUP(D107,'📦 INVENTORY'!B:J,9,0),""))</f>
        <v/>
      </c>
      <c r="H107" s="35" t="str">
        <f aca="false">IF(OR(F107="",G107=""),"",F107*G107)</f>
        <v/>
      </c>
      <c r="I107" s="41"/>
      <c r="J107" s="41"/>
    </row>
    <row r="108" customFormat="false" ht="18" hidden="false" customHeight="true" outlineLevel="0" collapsed="false">
      <c r="B108" s="42"/>
      <c r="C108" s="43" t="str">
        <f aca="false">IF(B108="","",TEXT(B108,"DDD"))</f>
        <v/>
      </c>
      <c r="D108" s="13"/>
      <c r="E108" s="13"/>
      <c r="F108" s="14"/>
      <c r="G108" s="17" t="str">
        <f aca="false">IF(D108="","",IFERROR(VLOOKUP(D108,'📦 INVENTORY'!B:J,9,0),""))</f>
        <v/>
      </c>
      <c r="H108" s="44" t="str">
        <f aca="false">IF(OR(F108="",G108=""),"",F108*G108)</f>
        <v/>
      </c>
      <c r="I108" s="43"/>
      <c r="J108" s="43"/>
    </row>
    <row r="109" customFormat="false" ht="18" hidden="false" customHeight="true" outlineLevel="0" collapsed="false">
      <c r="B109" s="40"/>
      <c r="C109" s="41" t="str">
        <f aca="false">IF(B109="","",TEXT(B109,"DDD"))</f>
        <v/>
      </c>
      <c r="D109" s="10"/>
      <c r="E109" s="10"/>
      <c r="F109" s="11"/>
      <c r="G109" s="18" t="str">
        <f aca="false">IF(D109="","",IFERROR(VLOOKUP(D109,'📦 INVENTORY'!B:J,9,0),""))</f>
        <v/>
      </c>
      <c r="H109" s="35" t="str">
        <f aca="false">IF(OR(F109="",G109=""),"",F109*G109)</f>
        <v/>
      </c>
      <c r="I109" s="41"/>
      <c r="J109" s="41"/>
    </row>
    <row r="110" customFormat="false" ht="18" hidden="false" customHeight="true" outlineLevel="0" collapsed="false">
      <c r="B110" s="42"/>
      <c r="C110" s="43" t="str">
        <f aca="false">IF(B110="","",TEXT(B110,"DDD"))</f>
        <v/>
      </c>
      <c r="D110" s="13"/>
      <c r="E110" s="13"/>
      <c r="F110" s="14"/>
      <c r="G110" s="17" t="str">
        <f aca="false">IF(D110="","",IFERROR(VLOOKUP(D110,'📦 INVENTORY'!B:J,9,0),""))</f>
        <v/>
      </c>
      <c r="H110" s="44" t="str">
        <f aca="false">IF(OR(F110="",G110=""),"",F110*G110)</f>
        <v/>
      </c>
      <c r="I110" s="43"/>
      <c r="J110" s="43"/>
    </row>
    <row r="111" customFormat="false" ht="18" hidden="false" customHeight="true" outlineLevel="0" collapsed="false">
      <c r="B111" s="40"/>
      <c r="C111" s="41" t="str">
        <f aca="false">IF(B111="","",TEXT(B111,"DDD"))</f>
        <v/>
      </c>
      <c r="D111" s="10"/>
      <c r="E111" s="10"/>
      <c r="F111" s="11"/>
      <c r="G111" s="18" t="str">
        <f aca="false">IF(D111="","",IFERROR(VLOOKUP(D111,'📦 INVENTORY'!B:J,9,0),""))</f>
        <v/>
      </c>
      <c r="H111" s="35" t="str">
        <f aca="false">IF(OR(F111="",G111=""),"",F111*G111)</f>
        <v/>
      </c>
      <c r="I111" s="41"/>
      <c r="J111" s="41"/>
    </row>
    <row r="112" customFormat="false" ht="18" hidden="false" customHeight="true" outlineLevel="0" collapsed="false">
      <c r="B112" s="42"/>
      <c r="C112" s="43" t="str">
        <f aca="false">IF(B112="","",TEXT(B112,"DDD"))</f>
        <v/>
      </c>
      <c r="D112" s="13"/>
      <c r="E112" s="13"/>
      <c r="F112" s="14"/>
      <c r="G112" s="17" t="str">
        <f aca="false">IF(D112="","",IFERROR(VLOOKUP(D112,'📦 INVENTORY'!B:J,9,0),""))</f>
        <v/>
      </c>
      <c r="H112" s="44" t="str">
        <f aca="false">IF(OR(F112="",G112=""),"",F112*G112)</f>
        <v/>
      </c>
      <c r="I112" s="43"/>
      <c r="J112" s="43"/>
    </row>
    <row r="113" customFormat="false" ht="18" hidden="false" customHeight="true" outlineLevel="0" collapsed="false">
      <c r="B113" s="40"/>
      <c r="C113" s="41" t="str">
        <f aca="false">IF(B113="","",TEXT(B113,"DDD"))</f>
        <v/>
      </c>
      <c r="D113" s="10"/>
      <c r="E113" s="10"/>
      <c r="F113" s="11"/>
      <c r="G113" s="18" t="str">
        <f aca="false">IF(D113="","",IFERROR(VLOOKUP(D113,'📦 INVENTORY'!B:J,9,0),""))</f>
        <v/>
      </c>
      <c r="H113" s="35" t="str">
        <f aca="false">IF(OR(F113="",G113=""),"",F113*G113)</f>
        <v/>
      </c>
      <c r="I113" s="41"/>
      <c r="J113" s="41"/>
    </row>
    <row r="114" customFormat="false" ht="18" hidden="false" customHeight="true" outlineLevel="0" collapsed="false">
      <c r="B114" s="42"/>
      <c r="C114" s="43" t="str">
        <f aca="false">IF(B114="","",TEXT(B114,"DDD"))</f>
        <v/>
      </c>
      <c r="D114" s="13"/>
      <c r="E114" s="13"/>
      <c r="F114" s="14"/>
      <c r="G114" s="17" t="str">
        <f aca="false">IF(D114="","",IFERROR(VLOOKUP(D114,'📦 INVENTORY'!B:J,9,0),""))</f>
        <v/>
      </c>
      <c r="H114" s="44" t="str">
        <f aca="false">IF(OR(F114="",G114=""),"",F114*G114)</f>
        <v/>
      </c>
      <c r="I114" s="43"/>
      <c r="J114" s="43"/>
    </row>
    <row r="115" customFormat="false" ht="18" hidden="false" customHeight="true" outlineLevel="0" collapsed="false">
      <c r="B115" s="40"/>
      <c r="C115" s="41" t="str">
        <f aca="false">IF(B115="","",TEXT(B115,"DDD"))</f>
        <v/>
      </c>
      <c r="D115" s="10"/>
      <c r="E115" s="10"/>
      <c r="F115" s="11"/>
      <c r="G115" s="18" t="str">
        <f aca="false">IF(D115="","",IFERROR(VLOOKUP(D115,'📦 INVENTORY'!B:J,9,0),""))</f>
        <v/>
      </c>
      <c r="H115" s="35" t="str">
        <f aca="false">IF(OR(F115="",G115=""),"",F115*G115)</f>
        <v/>
      </c>
      <c r="I115" s="41"/>
      <c r="J115" s="41"/>
    </row>
    <row r="116" customFormat="false" ht="18" hidden="false" customHeight="true" outlineLevel="0" collapsed="false">
      <c r="B116" s="42"/>
      <c r="C116" s="43" t="str">
        <f aca="false">IF(B116="","",TEXT(B116,"DDD"))</f>
        <v/>
      </c>
      <c r="D116" s="13"/>
      <c r="E116" s="13"/>
      <c r="F116" s="14"/>
      <c r="G116" s="17" t="str">
        <f aca="false">IF(D116="","",IFERROR(VLOOKUP(D116,'📦 INVENTORY'!B:J,9,0),""))</f>
        <v/>
      </c>
      <c r="H116" s="44" t="str">
        <f aca="false">IF(OR(F116="",G116=""),"",F116*G116)</f>
        <v/>
      </c>
      <c r="I116" s="43"/>
      <c r="J116" s="43"/>
    </row>
    <row r="117" customFormat="false" ht="18" hidden="false" customHeight="true" outlineLevel="0" collapsed="false">
      <c r="B117" s="40"/>
      <c r="C117" s="41" t="str">
        <f aca="false">IF(B117="","",TEXT(B117,"DDD"))</f>
        <v/>
      </c>
      <c r="D117" s="10"/>
      <c r="E117" s="10"/>
      <c r="F117" s="11"/>
      <c r="G117" s="18" t="str">
        <f aca="false">IF(D117="","",IFERROR(VLOOKUP(D117,'📦 INVENTORY'!B:J,9,0),""))</f>
        <v/>
      </c>
      <c r="H117" s="35" t="str">
        <f aca="false">IF(OR(F117="",G117=""),"",F117*G117)</f>
        <v/>
      </c>
      <c r="I117" s="41"/>
      <c r="J117" s="41"/>
    </row>
    <row r="118" customFormat="false" ht="18" hidden="false" customHeight="true" outlineLevel="0" collapsed="false">
      <c r="B118" s="42"/>
      <c r="C118" s="43" t="str">
        <f aca="false">IF(B118="","",TEXT(B118,"DDD"))</f>
        <v/>
      </c>
      <c r="D118" s="13"/>
      <c r="E118" s="13"/>
      <c r="F118" s="14"/>
      <c r="G118" s="17" t="str">
        <f aca="false">IF(D118="","",IFERROR(VLOOKUP(D118,'📦 INVENTORY'!B:J,9,0),""))</f>
        <v/>
      </c>
      <c r="H118" s="44" t="str">
        <f aca="false">IF(OR(F118="",G118=""),"",F118*G118)</f>
        <v/>
      </c>
      <c r="I118" s="43"/>
      <c r="J118" s="43"/>
    </row>
    <row r="119" customFormat="false" ht="18" hidden="false" customHeight="true" outlineLevel="0" collapsed="false">
      <c r="B119" s="40"/>
      <c r="C119" s="41" t="str">
        <f aca="false">IF(B119="","",TEXT(B119,"DDD"))</f>
        <v/>
      </c>
      <c r="D119" s="10"/>
      <c r="E119" s="10"/>
      <c r="F119" s="11"/>
      <c r="G119" s="18" t="str">
        <f aca="false">IF(D119="","",IFERROR(VLOOKUP(D119,'📦 INVENTORY'!B:J,9,0),""))</f>
        <v/>
      </c>
      <c r="H119" s="35" t="str">
        <f aca="false">IF(OR(F119="",G119=""),"",F119*G119)</f>
        <v/>
      </c>
      <c r="I119" s="41"/>
      <c r="J119" s="41"/>
    </row>
    <row r="120" customFormat="false" ht="18" hidden="false" customHeight="true" outlineLevel="0" collapsed="false">
      <c r="B120" s="42"/>
      <c r="C120" s="43" t="str">
        <f aca="false">IF(B120="","",TEXT(B120,"DDD"))</f>
        <v/>
      </c>
      <c r="D120" s="13"/>
      <c r="E120" s="13"/>
      <c r="F120" s="14"/>
      <c r="G120" s="17" t="str">
        <f aca="false">IF(D120="","",IFERROR(VLOOKUP(D120,'📦 INVENTORY'!B:J,9,0),""))</f>
        <v/>
      </c>
      <c r="H120" s="44" t="str">
        <f aca="false">IF(OR(F120="",G120=""),"",F120*G120)</f>
        <v/>
      </c>
      <c r="I120" s="43"/>
      <c r="J120" s="43"/>
    </row>
    <row r="121" customFormat="false" ht="18" hidden="false" customHeight="true" outlineLevel="0" collapsed="false">
      <c r="B121" s="40"/>
      <c r="C121" s="41" t="str">
        <f aca="false">IF(B121="","",TEXT(B121,"DDD"))</f>
        <v/>
      </c>
      <c r="D121" s="10"/>
      <c r="E121" s="10"/>
      <c r="F121" s="11"/>
      <c r="G121" s="18" t="str">
        <f aca="false">IF(D121="","",IFERROR(VLOOKUP(D121,'📦 INVENTORY'!B:J,9,0),""))</f>
        <v/>
      </c>
      <c r="H121" s="35" t="str">
        <f aca="false">IF(OR(F121="",G121=""),"",F121*G121)</f>
        <v/>
      </c>
      <c r="I121" s="41"/>
      <c r="J121" s="41"/>
    </row>
    <row r="122" customFormat="false" ht="18" hidden="false" customHeight="true" outlineLevel="0" collapsed="false">
      <c r="B122" s="42"/>
      <c r="C122" s="43" t="str">
        <f aca="false">IF(B122="","",TEXT(B122,"DDD"))</f>
        <v/>
      </c>
      <c r="D122" s="13"/>
      <c r="E122" s="13"/>
      <c r="F122" s="14"/>
      <c r="G122" s="17" t="str">
        <f aca="false">IF(D122="","",IFERROR(VLOOKUP(D122,'📦 INVENTORY'!B:J,9,0),""))</f>
        <v/>
      </c>
      <c r="H122" s="44" t="str">
        <f aca="false">IF(OR(F122="",G122=""),"",F122*G122)</f>
        <v/>
      </c>
      <c r="I122" s="43"/>
      <c r="J122" s="43"/>
    </row>
    <row r="123" customFormat="false" ht="18" hidden="false" customHeight="true" outlineLevel="0" collapsed="false">
      <c r="B123" s="40"/>
      <c r="C123" s="41" t="str">
        <f aca="false">IF(B123="","",TEXT(B123,"DDD"))</f>
        <v/>
      </c>
      <c r="D123" s="10"/>
      <c r="E123" s="10"/>
      <c r="F123" s="11"/>
      <c r="G123" s="18" t="str">
        <f aca="false">IF(D123="","",IFERROR(VLOOKUP(D123,'📦 INVENTORY'!B:J,9,0),""))</f>
        <v/>
      </c>
      <c r="H123" s="35" t="str">
        <f aca="false">IF(OR(F123="",G123=""),"",F123*G123)</f>
        <v/>
      </c>
      <c r="I123" s="41"/>
      <c r="J123" s="41"/>
    </row>
    <row r="124" customFormat="false" ht="18" hidden="false" customHeight="true" outlineLevel="0" collapsed="false">
      <c r="B124" s="42"/>
      <c r="C124" s="43" t="str">
        <f aca="false">IF(B124="","",TEXT(B124,"DDD"))</f>
        <v/>
      </c>
      <c r="D124" s="13"/>
      <c r="E124" s="13"/>
      <c r="F124" s="14"/>
      <c r="G124" s="17" t="str">
        <f aca="false">IF(D124="","",IFERROR(VLOOKUP(D124,'📦 INVENTORY'!B:J,9,0),""))</f>
        <v/>
      </c>
      <c r="H124" s="44" t="str">
        <f aca="false">IF(OR(F124="",G124=""),"",F124*G124)</f>
        <v/>
      </c>
      <c r="I124" s="43"/>
      <c r="J124" s="43"/>
    </row>
    <row r="125" customFormat="false" ht="18" hidden="false" customHeight="true" outlineLevel="0" collapsed="false">
      <c r="B125" s="40"/>
      <c r="C125" s="41" t="str">
        <f aca="false">IF(B125="","",TEXT(B125,"DDD"))</f>
        <v/>
      </c>
      <c r="D125" s="10"/>
      <c r="E125" s="10"/>
      <c r="F125" s="11"/>
      <c r="G125" s="18" t="str">
        <f aca="false">IF(D125="","",IFERROR(VLOOKUP(D125,'📦 INVENTORY'!B:J,9,0),""))</f>
        <v/>
      </c>
      <c r="H125" s="35" t="str">
        <f aca="false">IF(OR(F125="",G125=""),"",F125*G125)</f>
        <v/>
      </c>
      <c r="I125" s="41"/>
      <c r="J125" s="41"/>
    </row>
    <row r="126" customFormat="false" ht="18" hidden="false" customHeight="true" outlineLevel="0" collapsed="false">
      <c r="B126" s="42"/>
      <c r="C126" s="43" t="str">
        <f aca="false">IF(B126="","",TEXT(B126,"DDD"))</f>
        <v/>
      </c>
      <c r="D126" s="13"/>
      <c r="E126" s="13"/>
      <c r="F126" s="14"/>
      <c r="G126" s="17" t="str">
        <f aca="false">IF(D126="","",IFERROR(VLOOKUP(D126,'📦 INVENTORY'!B:J,9,0),""))</f>
        <v/>
      </c>
      <c r="H126" s="44" t="str">
        <f aca="false">IF(OR(F126="",G126=""),"",F126*G126)</f>
        <v/>
      </c>
      <c r="I126" s="43"/>
      <c r="J126" s="43"/>
    </row>
    <row r="127" customFormat="false" ht="18" hidden="false" customHeight="true" outlineLevel="0" collapsed="false">
      <c r="B127" s="40"/>
      <c r="C127" s="41" t="str">
        <f aca="false">IF(B127="","",TEXT(B127,"DDD"))</f>
        <v/>
      </c>
      <c r="D127" s="10"/>
      <c r="E127" s="10"/>
      <c r="F127" s="11"/>
      <c r="G127" s="18" t="str">
        <f aca="false">IF(D127="","",IFERROR(VLOOKUP(D127,'📦 INVENTORY'!B:J,9,0),""))</f>
        <v/>
      </c>
      <c r="H127" s="35" t="str">
        <f aca="false">IF(OR(F127="",G127=""),"",F127*G127)</f>
        <v/>
      </c>
      <c r="I127" s="41"/>
      <c r="J127" s="41"/>
    </row>
    <row r="128" customFormat="false" ht="18" hidden="false" customHeight="true" outlineLevel="0" collapsed="false">
      <c r="B128" s="42"/>
      <c r="C128" s="43" t="str">
        <f aca="false">IF(B128="","",TEXT(B128,"DDD"))</f>
        <v/>
      </c>
      <c r="D128" s="13"/>
      <c r="E128" s="13"/>
      <c r="F128" s="14"/>
      <c r="G128" s="17" t="str">
        <f aca="false">IF(D128="","",IFERROR(VLOOKUP(D128,'📦 INVENTORY'!B:J,9,0),""))</f>
        <v/>
      </c>
      <c r="H128" s="44" t="str">
        <f aca="false">IF(OR(F128="",G128=""),"",F128*G128)</f>
        <v/>
      </c>
      <c r="I128" s="43"/>
      <c r="J128" s="43"/>
    </row>
    <row r="129" customFormat="false" ht="18" hidden="false" customHeight="true" outlineLevel="0" collapsed="false">
      <c r="B129" s="40"/>
      <c r="C129" s="41" t="str">
        <f aca="false">IF(B129="","",TEXT(B129,"DDD"))</f>
        <v/>
      </c>
      <c r="D129" s="10"/>
      <c r="E129" s="10"/>
      <c r="F129" s="11"/>
      <c r="G129" s="18" t="str">
        <f aca="false">IF(D129="","",IFERROR(VLOOKUP(D129,'📦 INVENTORY'!B:J,9,0),""))</f>
        <v/>
      </c>
      <c r="H129" s="35" t="str">
        <f aca="false">IF(OR(F129="",G129=""),"",F129*G129)</f>
        <v/>
      </c>
      <c r="I129" s="41"/>
      <c r="J129" s="41"/>
    </row>
    <row r="130" customFormat="false" ht="18" hidden="false" customHeight="true" outlineLevel="0" collapsed="false">
      <c r="B130" s="42"/>
      <c r="C130" s="43" t="str">
        <f aca="false">IF(B130="","",TEXT(B130,"DDD"))</f>
        <v/>
      </c>
      <c r="D130" s="13"/>
      <c r="E130" s="13"/>
      <c r="F130" s="14"/>
      <c r="G130" s="17" t="str">
        <f aca="false">IF(D130="","",IFERROR(VLOOKUP(D130,'📦 INVENTORY'!B:J,9,0),""))</f>
        <v/>
      </c>
      <c r="H130" s="44" t="str">
        <f aca="false">IF(OR(F130="",G130=""),"",F130*G130)</f>
        <v/>
      </c>
      <c r="I130" s="43"/>
      <c r="J130" s="43"/>
    </row>
    <row r="131" customFormat="false" ht="18" hidden="false" customHeight="true" outlineLevel="0" collapsed="false">
      <c r="B131" s="40"/>
      <c r="C131" s="41" t="str">
        <f aca="false">IF(B131="","",TEXT(B131,"DDD"))</f>
        <v/>
      </c>
      <c r="D131" s="10"/>
      <c r="E131" s="10"/>
      <c r="F131" s="11"/>
      <c r="G131" s="18" t="str">
        <f aca="false">IF(D131="","",IFERROR(VLOOKUP(D131,'📦 INVENTORY'!B:J,9,0),""))</f>
        <v/>
      </c>
      <c r="H131" s="35" t="str">
        <f aca="false">IF(OR(F131="",G131=""),"",F131*G131)</f>
        <v/>
      </c>
      <c r="I131" s="41"/>
      <c r="J131" s="41"/>
    </row>
    <row r="132" customFormat="false" ht="18" hidden="false" customHeight="true" outlineLevel="0" collapsed="false">
      <c r="B132" s="42"/>
      <c r="C132" s="43" t="str">
        <f aca="false">IF(B132="","",TEXT(B132,"DDD"))</f>
        <v/>
      </c>
      <c r="D132" s="13"/>
      <c r="E132" s="13"/>
      <c r="F132" s="14"/>
      <c r="G132" s="17" t="str">
        <f aca="false">IF(D132="","",IFERROR(VLOOKUP(D132,'📦 INVENTORY'!B:J,9,0),""))</f>
        <v/>
      </c>
      <c r="H132" s="44" t="str">
        <f aca="false">IF(OR(F132="",G132=""),"",F132*G132)</f>
        <v/>
      </c>
      <c r="I132" s="43"/>
      <c r="J132" s="43"/>
    </row>
    <row r="133" customFormat="false" ht="18" hidden="false" customHeight="true" outlineLevel="0" collapsed="false">
      <c r="B133" s="40"/>
      <c r="C133" s="41" t="str">
        <f aca="false">IF(B133="","",TEXT(B133,"DDD"))</f>
        <v/>
      </c>
      <c r="D133" s="10"/>
      <c r="E133" s="10"/>
      <c r="F133" s="11"/>
      <c r="G133" s="18" t="str">
        <f aca="false">IF(D133="","",IFERROR(VLOOKUP(D133,'📦 INVENTORY'!B:J,9,0),""))</f>
        <v/>
      </c>
      <c r="H133" s="35" t="str">
        <f aca="false">IF(OR(F133="",G133=""),"",F133*G133)</f>
        <v/>
      </c>
      <c r="I133" s="41"/>
      <c r="J133" s="41"/>
    </row>
    <row r="134" customFormat="false" ht="18" hidden="false" customHeight="true" outlineLevel="0" collapsed="false">
      <c r="B134" s="42"/>
      <c r="C134" s="43" t="str">
        <f aca="false">IF(B134="","",TEXT(B134,"DDD"))</f>
        <v/>
      </c>
      <c r="D134" s="13"/>
      <c r="E134" s="13"/>
      <c r="F134" s="14"/>
      <c r="G134" s="17" t="str">
        <f aca="false">IF(D134="","",IFERROR(VLOOKUP(D134,'📦 INVENTORY'!B:J,9,0),""))</f>
        <v/>
      </c>
      <c r="H134" s="44" t="str">
        <f aca="false">IF(OR(F134="",G134=""),"",F134*G134)</f>
        <v/>
      </c>
      <c r="I134" s="43"/>
      <c r="J134" s="43"/>
    </row>
    <row r="135" customFormat="false" ht="18" hidden="false" customHeight="true" outlineLevel="0" collapsed="false">
      <c r="B135" s="40"/>
      <c r="C135" s="41" t="str">
        <f aca="false">IF(B135="","",TEXT(B135,"DDD"))</f>
        <v/>
      </c>
      <c r="D135" s="10"/>
      <c r="E135" s="10"/>
      <c r="F135" s="11"/>
      <c r="G135" s="18" t="str">
        <f aca="false">IF(D135="","",IFERROR(VLOOKUP(D135,'📦 INVENTORY'!B:J,9,0),""))</f>
        <v/>
      </c>
      <c r="H135" s="35" t="str">
        <f aca="false">IF(OR(F135="",G135=""),"",F135*G135)</f>
        <v/>
      </c>
      <c r="I135" s="41"/>
      <c r="J135" s="41"/>
    </row>
    <row r="136" customFormat="false" ht="18" hidden="false" customHeight="true" outlineLevel="0" collapsed="false">
      <c r="B136" s="42"/>
      <c r="C136" s="43" t="str">
        <f aca="false">IF(B136="","",TEXT(B136,"DDD"))</f>
        <v/>
      </c>
      <c r="D136" s="13"/>
      <c r="E136" s="13"/>
      <c r="F136" s="14"/>
      <c r="G136" s="17" t="str">
        <f aca="false">IF(D136="","",IFERROR(VLOOKUP(D136,'📦 INVENTORY'!B:J,9,0),""))</f>
        <v/>
      </c>
      <c r="H136" s="44" t="str">
        <f aca="false">IF(OR(F136="",G136=""),"",F136*G136)</f>
        <v/>
      </c>
      <c r="I136" s="43"/>
      <c r="J136" s="43"/>
    </row>
    <row r="137" customFormat="false" ht="18" hidden="false" customHeight="true" outlineLevel="0" collapsed="false">
      <c r="B137" s="40"/>
      <c r="C137" s="41" t="str">
        <f aca="false">IF(B137="","",TEXT(B137,"DDD"))</f>
        <v/>
      </c>
      <c r="D137" s="10"/>
      <c r="E137" s="10"/>
      <c r="F137" s="11"/>
      <c r="G137" s="18" t="str">
        <f aca="false">IF(D137="","",IFERROR(VLOOKUP(D137,'📦 INVENTORY'!B:J,9,0),""))</f>
        <v/>
      </c>
      <c r="H137" s="35" t="str">
        <f aca="false">IF(OR(F137="",G137=""),"",F137*G137)</f>
        <v/>
      </c>
      <c r="I137" s="41"/>
      <c r="J137" s="41"/>
    </row>
    <row r="138" customFormat="false" ht="18" hidden="false" customHeight="true" outlineLevel="0" collapsed="false">
      <c r="B138" s="42"/>
      <c r="C138" s="43" t="str">
        <f aca="false">IF(B138="","",TEXT(B138,"DDD"))</f>
        <v/>
      </c>
      <c r="D138" s="13"/>
      <c r="E138" s="13"/>
      <c r="F138" s="14"/>
      <c r="G138" s="17" t="str">
        <f aca="false">IF(D138="","",IFERROR(VLOOKUP(D138,'📦 INVENTORY'!B:J,9,0),""))</f>
        <v/>
      </c>
      <c r="H138" s="44" t="str">
        <f aca="false">IF(OR(F138="",G138=""),"",F138*G138)</f>
        <v/>
      </c>
      <c r="I138" s="43"/>
      <c r="J138" s="43"/>
    </row>
    <row r="139" customFormat="false" ht="18" hidden="false" customHeight="true" outlineLevel="0" collapsed="false">
      <c r="B139" s="40"/>
      <c r="C139" s="41" t="str">
        <f aca="false">IF(B139="","",TEXT(B139,"DDD"))</f>
        <v/>
      </c>
      <c r="D139" s="10"/>
      <c r="E139" s="10"/>
      <c r="F139" s="11"/>
      <c r="G139" s="18" t="str">
        <f aca="false">IF(D139="","",IFERROR(VLOOKUP(D139,'📦 INVENTORY'!B:J,9,0),""))</f>
        <v/>
      </c>
      <c r="H139" s="35" t="str">
        <f aca="false">IF(OR(F139="",G139=""),"",F139*G139)</f>
        <v/>
      </c>
      <c r="I139" s="41"/>
      <c r="J139" s="41"/>
    </row>
    <row r="140" customFormat="false" ht="18" hidden="false" customHeight="true" outlineLevel="0" collapsed="false">
      <c r="B140" s="42"/>
      <c r="C140" s="43" t="str">
        <f aca="false">IF(B140="","",TEXT(B140,"DDD"))</f>
        <v/>
      </c>
      <c r="D140" s="13"/>
      <c r="E140" s="13"/>
      <c r="F140" s="14"/>
      <c r="G140" s="17" t="str">
        <f aca="false">IF(D140="","",IFERROR(VLOOKUP(D140,'📦 INVENTORY'!B:J,9,0),""))</f>
        <v/>
      </c>
      <c r="H140" s="44" t="str">
        <f aca="false">IF(OR(F140="",G140=""),"",F140*G140)</f>
        <v/>
      </c>
      <c r="I140" s="43"/>
      <c r="J140" s="43"/>
    </row>
    <row r="141" customFormat="false" ht="18" hidden="false" customHeight="true" outlineLevel="0" collapsed="false">
      <c r="B141" s="40"/>
      <c r="C141" s="41" t="str">
        <f aca="false">IF(B141="","",TEXT(B141,"DDD"))</f>
        <v/>
      </c>
      <c r="D141" s="10"/>
      <c r="E141" s="10"/>
      <c r="F141" s="11"/>
      <c r="G141" s="18" t="str">
        <f aca="false">IF(D141="","",IFERROR(VLOOKUP(D141,'📦 INVENTORY'!B:J,9,0),""))</f>
        <v/>
      </c>
      <c r="H141" s="35" t="str">
        <f aca="false">IF(OR(F141="",G141=""),"",F141*G141)</f>
        <v/>
      </c>
      <c r="I141" s="41"/>
      <c r="J141" s="41"/>
    </row>
    <row r="142" customFormat="false" ht="18" hidden="false" customHeight="true" outlineLevel="0" collapsed="false">
      <c r="B142" s="42"/>
      <c r="C142" s="43" t="str">
        <f aca="false">IF(B142="","",TEXT(B142,"DDD"))</f>
        <v/>
      </c>
      <c r="D142" s="13"/>
      <c r="E142" s="13"/>
      <c r="F142" s="14"/>
      <c r="G142" s="17" t="str">
        <f aca="false">IF(D142="","",IFERROR(VLOOKUP(D142,'📦 INVENTORY'!B:J,9,0),""))</f>
        <v/>
      </c>
      <c r="H142" s="44" t="str">
        <f aca="false">IF(OR(F142="",G142=""),"",F142*G142)</f>
        <v/>
      </c>
      <c r="I142" s="43"/>
      <c r="J142" s="43"/>
    </row>
    <row r="143" customFormat="false" ht="18" hidden="false" customHeight="true" outlineLevel="0" collapsed="false">
      <c r="B143" s="40"/>
      <c r="C143" s="41" t="str">
        <f aca="false">IF(B143="","",TEXT(B143,"DDD"))</f>
        <v/>
      </c>
      <c r="D143" s="10"/>
      <c r="E143" s="10"/>
      <c r="F143" s="11"/>
      <c r="G143" s="18" t="str">
        <f aca="false">IF(D143="","",IFERROR(VLOOKUP(D143,'📦 INVENTORY'!B:J,9,0),""))</f>
        <v/>
      </c>
      <c r="H143" s="35" t="str">
        <f aca="false">IF(OR(F143="",G143=""),"",F143*G143)</f>
        <v/>
      </c>
      <c r="I143" s="41"/>
      <c r="J143" s="41"/>
    </row>
    <row r="144" customFormat="false" ht="18" hidden="false" customHeight="true" outlineLevel="0" collapsed="false">
      <c r="B144" s="42"/>
      <c r="C144" s="43" t="str">
        <f aca="false">IF(B144="","",TEXT(B144,"DDD"))</f>
        <v/>
      </c>
      <c r="D144" s="13"/>
      <c r="E144" s="13"/>
      <c r="F144" s="14"/>
      <c r="G144" s="17" t="str">
        <f aca="false">IF(D144="","",IFERROR(VLOOKUP(D144,'📦 INVENTORY'!B:J,9,0),""))</f>
        <v/>
      </c>
      <c r="H144" s="44" t="str">
        <f aca="false">IF(OR(F144="",G144=""),"",F144*G144)</f>
        <v/>
      </c>
      <c r="I144" s="43"/>
      <c r="J144" s="43"/>
    </row>
    <row r="145" customFormat="false" ht="18" hidden="false" customHeight="true" outlineLevel="0" collapsed="false">
      <c r="B145" s="40"/>
      <c r="C145" s="41" t="str">
        <f aca="false">IF(B145="","",TEXT(B145,"DDD"))</f>
        <v/>
      </c>
      <c r="D145" s="10"/>
      <c r="E145" s="10"/>
      <c r="F145" s="11"/>
      <c r="G145" s="18" t="str">
        <f aca="false">IF(D145="","",IFERROR(VLOOKUP(D145,'📦 INVENTORY'!B:J,9,0),""))</f>
        <v/>
      </c>
      <c r="H145" s="35" t="str">
        <f aca="false">IF(OR(F145="",G145=""),"",F145*G145)</f>
        <v/>
      </c>
      <c r="I145" s="41"/>
      <c r="J145" s="41"/>
    </row>
    <row r="146" customFormat="false" ht="18" hidden="false" customHeight="true" outlineLevel="0" collapsed="false">
      <c r="B146" s="42"/>
      <c r="C146" s="43" t="str">
        <f aca="false">IF(B146="","",TEXT(B146,"DDD"))</f>
        <v/>
      </c>
      <c r="D146" s="13"/>
      <c r="E146" s="13"/>
      <c r="F146" s="14"/>
      <c r="G146" s="17" t="str">
        <f aca="false">IF(D146="","",IFERROR(VLOOKUP(D146,'📦 INVENTORY'!B:J,9,0),""))</f>
        <v/>
      </c>
      <c r="H146" s="44" t="str">
        <f aca="false">IF(OR(F146="",G146=""),"",F146*G146)</f>
        <v/>
      </c>
      <c r="I146" s="43"/>
      <c r="J146" s="43"/>
    </row>
    <row r="147" customFormat="false" ht="18" hidden="false" customHeight="true" outlineLevel="0" collapsed="false">
      <c r="B147" s="40"/>
      <c r="C147" s="41" t="str">
        <f aca="false">IF(B147="","",TEXT(B147,"DDD"))</f>
        <v/>
      </c>
      <c r="D147" s="10"/>
      <c r="E147" s="10"/>
      <c r="F147" s="11"/>
      <c r="G147" s="18" t="str">
        <f aca="false">IF(D147="","",IFERROR(VLOOKUP(D147,'📦 INVENTORY'!B:J,9,0),""))</f>
        <v/>
      </c>
      <c r="H147" s="35" t="str">
        <f aca="false">IF(OR(F147="",G147=""),"",F147*G147)</f>
        <v/>
      </c>
      <c r="I147" s="41"/>
      <c r="J147" s="41"/>
    </row>
    <row r="148" customFormat="false" ht="18" hidden="false" customHeight="true" outlineLevel="0" collapsed="false">
      <c r="B148" s="42"/>
      <c r="C148" s="43" t="str">
        <f aca="false">IF(B148="","",TEXT(B148,"DDD"))</f>
        <v/>
      </c>
      <c r="D148" s="13"/>
      <c r="E148" s="13"/>
      <c r="F148" s="14"/>
      <c r="G148" s="17" t="str">
        <f aca="false">IF(D148="","",IFERROR(VLOOKUP(D148,'📦 INVENTORY'!B:J,9,0),""))</f>
        <v/>
      </c>
      <c r="H148" s="44" t="str">
        <f aca="false">IF(OR(F148="",G148=""),"",F148*G148)</f>
        <v/>
      </c>
      <c r="I148" s="43"/>
      <c r="J148" s="43"/>
    </row>
    <row r="149" customFormat="false" ht="18" hidden="false" customHeight="true" outlineLevel="0" collapsed="false">
      <c r="B149" s="40"/>
      <c r="C149" s="41" t="str">
        <f aca="false">IF(B149="","",TEXT(B149,"DDD"))</f>
        <v/>
      </c>
      <c r="D149" s="10"/>
      <c r="E149" s="10"/>
      <c r="F149" s="11"/>
      <c r="G149" s="18" t="str">
        <f aca="false">IF(D149="","",IFERROR(VLOOKUP(D149,'📦 INVENTORY'!B:J,9,0),""))</f>
        <v/>
      </c>
      <c r="H149" s="35" t="str">
        <f aca="false">IF(OR(F149="",G149=""),"",F149*G149)</f>
        <v/>
      </c>
      <c r="I149" s="41"/>
      <c r="J149" s="41"/>
    </row>
    <row r="150" customFormat="false" ht="18" hidden="false" customHeight="true" outlineLevel="0" collapsed="false">
      <c r="B150" s="42"/>
      <c r="C150" s="43" t="str">
        <f aca="false">IF(B150="","",TEXT(B150,"DDD"))</f>
        <v/>
      </c>
      <c r="D150" s="13"/>
      <c r="E150" s="13"/>
      <c r="F150" s="14"/>
      <c r="G150" s="17" t="str">
        <f aca="false">IF(D150="","",IFERROR(VLOOKUP(D150,'📦 INVENTORY'!B:J,9,0),""))</f>
        <v/>
      </c>
      <c r="H150" s="44" t="str">
        <f aca="false">IF(OR(F150="",G150=""),"",F150*G150)</f>
        <v/>
      </c>
      <c r="I150" s="43"/>
      <c r="J150" s="43"/>
    </row>
    <row r="151" customFormat="false" ht="18" hidden="false" customHeight="true" outlineLevel="0" collapsed="false">
      <c r="B151" s="40"/>
      <c r="C151" s="41" t="str">
        <f aca="false">IF(B151="","",TEXT(B151,"DDD"))</f>
        <v/>
      </c>
      <c r="D151" s="10"/>
      <c r="E151" s="10"/>
      <c r="F151" s="11"/>
      <c r="G151" s="18" t="str">
        <f aca="false">IF(D151="","",IFERROR(VLOOKUP(D151,'📦 INVENTORY'!B:J,9,0),""))</f>
        <v/>
      </c>
      <c r="H151" s="35" t="str">
        <f aca="false">IF(OR(F151="",G151=""),"",F151*G151)</f>
        <v/>
      </c>
      <c r="I151" s="41"/>
      <c r="J151" s="41"/>
    </row>
    <row r="152" customFormat="false" ht="18" hidden="false" customHeight="true" outlineLevel="0" collapsed="false">
      <c r="B152" s="42"/>
      <c r="C152" s="43" t="str">
        <f aca="false">IF(B152="","",TEXT(B152,"DDD"))</f>
        <v/>
      </c>
      <c r="D152" s="13"/>
      <c r="E152" s="13"/>
      <c r="F152" s="14"/>
      <c r="G152" s="17" t="str">
        <f aca="false">IF(D152="","",IFERROR(VLOOKUP(D152,'📦 INVENTORY'!B:J,9,0),""))</f>
        <v/>
      </c>
      <c r="H152" s="44" t="str">
        <f aca="false">IF(OR(F152="",G152=""),"",F152*G152)</f>
        <v/>
      </c>
      <c r="I152" s="43"/>
      <c r="J152" s="43"/>
    </row>
    <row r="153" customFormat="false" ht="18" hidden="false" customHeight="true" outlineLevel="0" collapsed="false">
      <c r="B153" s="40"/>
      <c r="C153" s="41" t="str">
        <f aca="false">IF(B153="","",TEXT(B153,"DDD"))</f>
        <v/>
      </c>
      <c r="D153" s="10"/>
      <c r="E153" s="10"/>
      <c r="F153" s="11"/>
      <c r="G153" s="18" t="str">
        <f aca="false">IF(D153="","",IFERROR(VLOOKUP(D153,'📦 INVENTORY'!B:J,9,0),""))</f>
        <v/>
      </c>
      <c r="H153" s="35" t="str">
        <f aca="false">IF(OR(F153="",G153=""),"",F153*G153)</f>
        <v/>
      </c>
      <c r="I153" s="41"/>
      <c r="J153" s="41"/>
    </row>
    <row r="154" customFormat="false" ht="18" hidden="false" customHeight="true" outlineLevel="0" collapsed="false">
      <c r="B154" s="42"/>
      <c r="C154" s="43" t="str">
        <f aca="false">IF(B154="","",TEXT(B154,"DDD"))</f>
        <v/>
      </c>
      <c r="D154" s="13"/>
      <c r="E154" s="13"/>
      <c r="F154" s="14"/>
      <c r="G154" s="17" t="str">
        <f aca="false">IF(D154="","",IFERROR(VLOOKUP(D154,'📦 INVENTORY'!B:J,9,0),""))</f>
        <v/>
      </c>
      <c r="H154" s="44" t="str">
        <f aca="false">IF(OR(F154="",G154=""),"",F154*G154)</f>
        <v/>
      </c>
      <c r="I154" s="43"/>
      <c r="J154" s="43"/>
    </row>
    <row r="155" customFormat="false" ht="18" hidden="false" customHeight="true" outlineLevel="0" collapsed="false">
      <c r="B155" s="40"/>
      <c r="C155" s="41" t="str">
        <f aca="false">IF(B155="","",TEXT(B155,"DDD"))</f>
        <v/>
      </c>
      <c r="D155" s="10"/>
      <c r="E155" s="10"/>
      <c r="F155" s="11"/>
      <c r="G155" s="18" t="str">
        <f aca="false">IF(D155="","",IFERROR(VLOOKUP(D155,'📦 INVENTORY'!B:J,9,0),""))</f>
        <v/>
      </c>
      <c r="H155" s="35" t="str">
        <f aca="false">IF(OR(F155="",G155=""),"",F155*G155)</f>
        <v/>
      </c>
      <c r="I155" s="41"/>
      <c r="J155" s="41"/>
    </row>
    <row r="156" customFormat="false" ht="18" hidden="false" customHeight="true" outlineLevel="0" collapsed="false">
      <c r="B156" s="42"/>
      <c r="C156" s="43" t="str">
        <f aca="false">IF(B156="","",TEXT(B156,"DDD"))</f>
        <v/>
      </c>
      <c r="D156" s="13"/>
      <c r="E156" s="13"/>
      <c r="F156" s="14"/>
      <c r="G156" s="17" t="str">
        <f aca="false">IF(D156="","",IFERROR(VLOOKUP(D156,'📦 INVENTORY'!B:J,9,0),""))</f>
        <v/>
      </c>
      <c r="H156" s="44" t="str">
        <f aca="false">IF(OR(F156="",G156=""),"",F156*G156)</f>
        <v/>
      </c>
      <c r="I156" s="43"/>
      <c r="J156" s="43"/>
    </row>
    <row r="157" customFormat="false" ht="18" hidden="false" customHeight="true" outlineLevel="0" collapsed="false">
      <c r="B157" s="40"/>
      <c r="C157" s="41" t="str">
        <f aca="false">IF(B157="","",TEXT(B157,"DDD"))</f>
        <v/>
      </c>
      <c r="D157" s="10"/>
      <c r="E157" s="10"/>
      <c r="F157" s="11"/>
      <c r="G157" s="18" t="str">
        <f aca="false">IF(D157="","",IFERROR(VLOOKUP(D157,'📦 INVENTORY'!B:J,9,0),""))</f>
        <v/>
      </c>
      <c r="H157" s="35" t="str">
        <f aca="false">IF(OR(F157="",G157=""),"",F157*G157)</f>
        <v/>
      </c>
      <c r="I157" s="41"/>
      <c r="J157" s="41"/>
    </row>
    <row r="158" customFormat="false" ht="18" hidden="false" customHeight="true" outlineLevel="0" collapsed="false">
      <c r="B158" s="42"/>
      <c r="C158" s="43" t="str">
        <f aca="false">IF(B158="","",TEXT(B158,"DDD"))</f>
        <v/>
      </c>
      <c r="D158" s="13"/>
      <c r="E158" s="13"/>
      <c r="F158" s="14"/>
      <c r="G158" s="17" t="str">
        <f aca="false">IF(D158="","",IFERROR(VLOOKUP(D158,'📦 INVENTORY'!B:J,9,0),""))</f>
        <v/>
      </c>
      <c r="H158" s="44" t="str">
        <f aca="false">IF(OR(F158="",G158=""),"",F158*G158)</f>
        <v/>
      </c>
      <c r="I158" s="43"/>
      <c r="J158" s="43"/>
    </row>
    <row r="159" customFormat="false" ht="18" hidden="false" customHeight="true" outlineLevel="0" collapsed="false">
      <c r="B159" s="40"/>
      <c r="C159" s="41" t="str">
        <f aca="false">IF(B159="","",TEXT(B159,"DDD"))</f>
        <v/>
      </c>
      <c r="D159" s="10"/>
      <c r="E159" s="10"/>
      <c r="F159" s="11"/>
      <c r="G159" s="18" t="str">
        <f aca="false">IF(D159="","",IFERROR(VLOOKUP(D159,'📦 INVENTORY'!B:J,9,0),""))</f>
        <v/>
      </c>
      <c r="H159" s="35" t="str">
        <f aca="false">IF(OR(F159="",G159=""),"",F159*G159)</f>
        <v/>
      </c>
      <c r="I159" s="41"/>
      <c r="J159" s="41"/>
    </row>
    <row r="160" customFormat="false" ht="18" hidden="false" customHeight="true" outlineLevel="0" collapsed="false">
      <c r="B160" s="42"/>
      <c r="C160" s="43" t="str">
        <f aca="false">IF(B160="","",TEXT(B160,"DDD"))</f>
        <v/>
      </c>
      <c r="D160" s="13"/>
      <c r="E160" s="13"/>
      <c r="F160" s="14"/>
      <c r="G160" s="17" t="str">
        <f aca="false">IF(D160="","",IFERROR(VLOOKUP(D160,'📦 INVENTORY'!B:J,9,0),""))</f>
        <v/>
      </c>
      <c r="H160" s="44" t="str">
        <f aca="false">IF(OR(F160="",G160=""),"",F160*G160)</f>
        <v/>
      </c>
      <c r="I160" s="43"/>
      <c r="J160" s="43"/>
    </row>
    <row r="161" customFormat="false" ht="18" hidden="false" customHeight="true" outlineLevel="0" collapsed="false">
      <c r="B161" s="40"/>
      <c r="C161" s="41" t="str">
        <f aca="false">IF(B161="","",TEXT(B161,"DDD"))</f>
        <v/>
      </c>
      <c r="D161" s="10"/>
      <c r="E161" s="10"/>
      <c r="F161" s="11"/>
      <c r="G161" s="18" t="str">
        <f aca="false">IF(D161="","",IFERROR(VLOOKUP(D161,'📦 INVENTORY'!B:J,9,0),""))</f>
        <v/>
      </c>
      <c r="H161" s="35" t="str">
        <f aca="false">IF(OR(F161="",G161=""),"",F161*G161)</f>
        <v/>
      </c>
      <c r="I161" s="41"/>
      <c r="J161" s="41"/>
    </row>
    <row r="162" customFormat="false" ht="18" hidden="false" customHeight="true" outlineLevel="0" collapsed="false">
      <c r="B162" s="42"/>
      <c r="C162" s="43" t="str">
        <f aca="false">IF(B162="","",TEXT(B162,"DDD"))</f>
        <v/>
      </c>
      <c r="D162" s="13"/>
      <c r="E162" s="13"/>
      <c r="F162" s="14"/>
      <c r="G162" s="17" t="str">
        <f aca="false">IF(D162="","",IFERROR(VLOOKUP(D162,'📦 INVENTORY'!B:J,9,0),""))</f>
        <v/>
      </c>
      <c r="H162" s="44" t="str">
        <f aca="false">IF(OR(F162="",G162=""),"",F162*G162)</f>
        <v/>
      </c>
      <c r="I162" s="43"/>
      <c r="J162" s="43"/>
    </row>
    <row r="163" customFormat="false" ht="18" hidden="false" customHeight="true" outlineLevel="0" collapsed="false">
      <c r="B163" s="40"/>
      <c r="C163" s="41" t="str">
        <f aca="false">IF(B163="","",TEXT(B163,"DDD"))</f>
        <v/>
      </c>
      <c r="D163" s="10"/>
      <c r="E163" s="10"/>
      <c r="F163" s="11"/>
      <c r="G163" s="18" t="str">
        <f aca="false">IF(D163="","",IFERROR(VLOOKUP(D163,'📦 INVENTORY'!B:J,9,0),""))</f>
        <v/>
      </c>
      <c r="H163" s="35" t="str">
        <f aca="false">IF(OR(F163="",G163=""),"",F163*G163)</f>
        <v/>
      </c>
      <c r="I163" s="41"/>
      <c r="J163" s="41"/>
    </row>
    <row r="164" customFormat="false" ht="18" hidden="false" customHeight="true" outlineLevel="0" collapsed="false">
      <c r="B164" s="42"/>
      <c r="C164" s="43" t="str">
        <f aca="false">IF(B164="","",TEXT(B164,"DDD"))</f>
        <v/>
      </c>
      <c r="D164" s="13"/>
      <c r="E164" s="13"/>
      <c r="F164" s="14"/>
      <c r="G164" s="17" t="str">
        <f aca="false">IF(D164="","",IFERROR(VLOOKUP(D164,'📦 INVENTORY'!B:J,9,0),""))</f>
        <v/>
      </c>
      <c r="H164" s="44" t="str">
        <f aca="false">IF(OR(F164="",G164=""),"",F164*G164)</f>
        <v/>
      </c>
      <c r="I164" s="43"/>
      <c r="J164" s="43"/>
    </row>
    <row r="165" customFormat="false" ht="18" hidden="false" customHeight="true" outlineLevel="0" collapsed="false">
      <c r="B165" s="40"/>
      <c r="C165" s="41" t="str">
        <f aca="false">IF(B165="","",TEXT(B165,"DDD"))</f>
        <v/>
      </c>
      <c r="D165" s="10"/>
      <c r="E165" s="10"/>
      <c r="F165" s="11"/>
      <c r="G165" s="18" t="str">
        <f aca="false">IF(D165="","",IFERROR(VLOOKUP(D165,'📦 INVENTORY'!B:J,9,0),""))</f>
        <v/>
      </c>
      <c r="H165" s="35" t="str">
        <f aca="false">IF(OR(F165="",G165=""),"",F165*G165)</f>
        <v/>
      </c>
      <c r="I165" s="41"/>
      <c r="J165" s="41"/>
    </row>
    <row r="166" customFormat="false" ht="18" hidden="false" customHeight="true" outlineLevel="0" collapsed="false">
      <c r="B166" s="42"/>
      <c r="C166" s="43" t="str">
        <f aca="false">IF(B166="","",TEXT(B166,"DDD"))</f>
        <v/>
      </c>
      <c r="D166" s="13"/>
      <c r="E166" s="13"/>
      <c r="F166" s="14"/>
      <c r="G166" s="17" t="str">
        <f aca="false">IF(D166="","",IFERROR(VLOOKUP(D166,'📦 INVENTORY'!B:J,9,0),""))</f>
        <v/>
      </c>
      <c r="H166" s="44" t="str">
        <f aca="false">IF(OR(F166="",G166=""),"",F166*G166)</f>
        <v/>
      </c>
      <c r="I166" s="43"/>
      <c r="J166" s="43"/>
    </row>
    <row r="167" customFormat="false" ht="18" hidden="false" customHeight="true" outlineLevel="0" collapsed="false">
      <c r="B167" s="40"/>
      <c r="C167" s="41" t="str">
        <f aca="false">IF(B167="","",TEXT(B167,"DDD"))</f>
        <v/>
      </c>
      <c r="D167" s="10"/>
      <c r="E167" s="10"/>
      <c r="F167" s="11"/>
      <c r="G167" s="18" t="str">
        <f aca="false">IF(D167="","",IFERROR(VLOOKUP(D167,'📦 INVENTORY'!B:J,9,0),""))</f>
        <v/>
      </c>
      <c r="H167" s="35" t="str">
        <f aca="false">IF(OR(F167="",G167=""),"",F167*G167)</f>
        <v/>
      </c>
      <c r="I167" s="41"/>
      <c r="J167" s="41"/>
    </row>
    <row r="168" customFormat="false" ht="18" hidden="false" customHeight="true" outlineLevel="0" collapsed="false">
      <c r="B168" s="42"/>
      <c r="C168" s="43" t="str">
        <f aca="false">IF(B168="","",TEXT(B168,"DDD"))</f>
        <v/>
      </c>
      <c r="D168" s="13"/>
      <c r="E168" s="13"/>
      <c r="F168" s="14"/>
      <c r="G168" s="17" t="str">
        <f aca="false">IF(D168="","",IFERROR(VLOOKUP(D168,'📦 INVENTORY'!B:J,9,0),""))</f>
        <v/>
      </c>
      <c r="H168" s="44" t="str">
        <f aca="false">IF(OR(F168="",G168=""),"",F168*G168)</f>
        <v/>
      </c>
      <c r="I168" s="43"/>
      <c r="J168" s="43"/>
    </row>
    <row r="169" customFormat="false" ht="18" hidden="false" customHeight="true" outlineLevel="0" collapsed="false">
      <c r="B169" s="40"/>
      <c r="C169" s="41" t="str">
        <f aca="false">IF(B169="","",TEXT(B169,"DDD"))</f>
        <v/>
      </c>
      <c r="D169" s="10"/>
      <c r="E169" s="10"/>
      <c r="F169" s="11"/>
      <c r="G169" s="18" t="str">
        <f aca="false">IF(D169="","",IFERROR(VLOOKUP(D169,'📦 INVENTORY'!B:J,9,0),""))</f>
        <v/>
      </c>
      <c r="H169" s="35" t="str">
        <f aca="false">IF(OR(F169="",G169=""),"",F169*G169)</f>
        <v/>
      </c>
      <c r="I169" s="41"/>
      <c r="J169" s="41"/>
    </row>
    <row r="170" customFormat="false" ht="18" hidden="false" customHeight="true" outlineLevel="0" collapsed="false">
      <c r="B170" s="42"/>
      <c r="C170" s="43" t="str">
        <f aca="false">IF(B170="","",TEXT(B170,"DDD"))</f>
        <v/>
      </c>
      <c r="D170" s="13"/>
      <c r="E170" s="13"/>
      <c r="F170" s="14"/>
      <c r="G170" s="17" t="str">
        <f aca="false">IF(D170="","",IFERROR(VLOOKUP(D170,'📦 INVENTORY'!B:J,9,0),""))</f>
        <v/>
      </c>
      <c r="H170" s="44" t="str">
        <f aca="false">IF(OR(F170="",G170=""),"",F170*G170)</f>
        <v/>
      </c>
      <c r="I170" s="43"/>
      <c r="J170" s="43"/>
    </row>
    <row r="171" customFormat="false" ht="18" hidden="false" customHeight="true" outlineLevel="0" collapsed="false">
      <c r="B171" s="40"/>
      <c r="C171" s="41" t="str">
        <f aca="false">IF(B171="","",TEXT(B171,"DDD"))</f>
        <v/>
      </c>
      <c r="D171" s="10"/>
      <c r="E171" s="10"/>
      <c r="F171" s="11"/>
      <c r="G171" s="18" t="str">
        <f aca="false">IF(D171="","",IFERROR(VLOOKUP(D171,'📦 INVENTORY'!B:J,9,0),""))</f>
        <v/>
      </c>
      <c r="H171" s="35" t="str">
        <f aca="false">IF(OR(F171="",G171=""),"",F171*G171)</f>
        <v/>
      </c>
      <c r="I171" s="41"/>
      <c r="J171" s="41"/>
    </row>
    <row r="172" customFormat="false" ht="18" hidden="false" customHeight="true" outlineLevel="0" collapsed="false">
      <c r="B172" s="42"/>
      <c r="C172" s="43" t="str">
        <f aca="false">IF(B172="","",TEXT(B172,"DDD"))</f>
        <v/>
      </c>
      <c r="D172" s="13"/>
      <c r="E172" s="13"/>
      <c r="F172" s="14"/>
      <c r="G172" s="17" t="str">
        <f aca="false">IF(D172="","",IFERROR(VLOOKUP(D172,'📦 INVENTORY'!B:J,9,0),""))</f>
        <v/>
      </c>
      <c r="H172" s="44" t="str">
        <f aca="false">IF(OR(F172="",G172=""),"",F172*G172)</f>
        <v/>
      </c>
      <c r="I172" s="43"/>
      <c r="J172" s="43"/>
    </row>
    <row r="173" customFormat="false" ht="18" hidden="false" customHeight="true" outlineLevel="0" collapsed="false">
      <c r="B173" s="40"/>
      <c r="C173" s="41" t="str">
        <f aca="false">IF(B173="","",TEXT(B173,"DDD"))</f>
        <v/>
      </c>
      <c r="D173" s="10"/>
      <c r="E173" s="10"/>
      <c r="F173" s="11"/>
      <c r="G173" s="18" t="str">
        <f aca="false">IF(D173="","",IFERROR(VLOOKUP(D173,'📦 INVENTORY'!B:J,9,0),""))</f>
        <v/>
      </c>
      <c r="H173" s="35" t="str">
        <f aca="false">IF(OR(F173="",G173=""),"",F173*G173)</f>
        <v/>
      </c>
      <c r="I173" s="41"/>
      <c r="J173" s="41"/>
    </row>
    <row r="174" customFormat="false" ht="18" hidden="false" customHeight="true" outlineLevel="0" collapsed="false">
      <c r="B174" s="42"/>
      <c r="C174" s="43" t="str">
        <f aca="false">IF(B174="","",TEXT(B174,"DDD"))</f>
        <v/>
      </c>
      <c r="D174" s="13"/>
      <c r="E174" s="13"/>
      <c r="F174" s="14"/>
      <c r="G174" s="17" t="str">
        <f aca="false">IF(D174="","",IFERROR(VLOOKUP(D174,'📦 INVENTORY'!B:J,9,0),""))</f>
        <v/>
      </c>
      <c r="H174" s="44" t="str">
        <f aca="false">IF(OR(F174="",G174=""),"",F174*G174)</f>
        <v/>
      </c>
      <c r="I174" s="43"/>
      <c r="J174" s="43"/>
    </row>
    <row r="175" customFormat="false" ht="18" hidden="false" customHeight="true" outlineLevel="0" collapsed="false">
      <c r="B175" s="40"/>
      <c r="C175" s="41" t="str">
        <f aca="false">IF(B175="","",TEXT(B175,"DDD"))</f>
        <v/>
      </c>
      <c r="D175" s="10"/>
      <c r="E175" s="10"/>
      <c r="F175" s="11"/>
      <c r="G175" s="18" t="str">
        <f aca="false">IF(D175="","",IFERROR(VLOOKUP(D175,'📦 INVENTORY'!B:J,9,0),""))</f>
        <v/>
      </c>
      <c r="H175" s="35" t="str">
        <f aca="false">IF(OR(F175="",G175=""),"",F175*G175)</f>
        <v/>
      </c>
      <c r="I175" s="41"/>
      <c r="J175" s="41"/>
    </row>
    <row r="176" customFormat="false" ht="18" hidden="false" customHeight="true" outlineLevel="0" collapsed="false">
      <c r="B176" s="42"/>
      <c r="C176" s="43" t="str">
        <f aca="false">IF(B176="","",TEXT(B176,"DDD"))</f>
        <v/>
      </c>
      <c r="D176" s="13"/>
      <c r="E176" s="13"/>
      <c r="F176" s="14"/>
      <c r="G176" s="17" t="str">
        <f aca="false">IF(D176="","",IFERROR(VLOOKUP(D176,'📦 INVENTORY'!B:J,9,0),""))</f>
        <v/>
      </c>
      <c r="H176" s="44" t="str">
        <f aca="false">IF(OR(F176="",G176=""),"",F176*G176)</f>
        <v/>
      </c>
      <c r="I176" s="43"/>
      <c r="J176" s="43"/>
    </row>
    <row r="177" customFormat="false" ht="18" hidden="false" customHeight="true" outlineLevel="0" collapsed="false">
      <c r="B177" s="40"/>
      <c r="C177" s="41" t="str">
        <f aca="false">IF(B177="","",TEXT(B177,"DDD"))</f>
        <v/>
      </c>
      <c r="D177" s="10"/>
      <c r="E177" s="10"/>
      <c r="F177" s="11"/>
      <c r="G177" s="18" t="str">
        <f aca="false">IF(D177="","",IFERROR(VLOOKUP(D177,'📦 INVENTORY'!B:J,9,0),""))</f>
        <v/>
      </c>
      <c r="H177" s="35" t="str">
        <f aca="false">IF(OR(F177="",G177=""),"",F177*G177)</f>
        <v/>
      </c>
      <c r="I177" s="41"/>
      <c r="J177" s="41"/>
    </row>
    <row r="178" customFormat="false" ht="18" hidden="false" customHeight="true" outlineLevel="0" collapsed="false">
      <c r="B178" s="42"/>
      <c r="C178" s="43" t="str">
        <f aca="false">IF(B178="","",TEXT(B178,"DDD"))</f>
        <v/>
      </c>
      <c r="D178" s="13"/>
      <c r="E178" s="13"/>
      <c r="F178" s="14"/>
      <c r="G178" s="17" t="str">
        <f aca="false">IF(D178="","",IFERROR(VLOOKUP(D178,'📦 INVENTORY'!B:J,9,0),""))</f>
        <v/>
      </c>
      <c r="H178" s="44" t="str">
        <f aca="false">IF(OR(F178="",G178=""),"",F178*G178)</f>
        <v/>
      </c>
      <c r="I178" s="43"/>
      <c r="J178" s="43"/>
    </row>
    <row r="179" customFormat="false" ht="18" hidden="false" customHeight="true" outlineLevel="0" collapsed="false">
      <c r="B179" s="40"/>
      <c r="C179" s="41" t="str">
        <f aca="false">IF(B179="","",TEXT(B179,"DDD"))</f>
        <v/>
      </c>
      <c r="D179" s="10"/>
      <c r="E179" s="10"/>
      <c r="F179" s="11"/>
      <c r="G179" s="18" t="str">
        <f aca="false">IF(D179="","",IFERROR(VLOOKUP(D179,'📦 INVENTORY'!B:J,9,0),""))</f>
        <v/>
      </c>
      <c r="H179" s="35" t="str">
        <f aca="false">IF(OR(F179="",G179=""),"",F179*G179)</f>
        <v/>
      </c>
      <c r="I179" s="41"/>
      <c r="J179" s="41"/>
    </row>
    <row r="180" customFormat="false" ht="18" hidden="false" customHeight="true" outlineLevel="0" collapsed="false">
      <c r="B180" s="42"/>
      <c r="C180" s="43" t="str">
        <f aca="false">IF(B180="","",TEXT(B180,"DDD"))</f>
        <v/>
      </c>
      <c r="D180" s="13"/>
      <c r="E180" s="13"/>
      <c r="F180" s="14"/>
      <c r="G180" s="17" t="str">
        <f aca="false">IF(D180="","",IFERROR(VLOOKUP(D180,'📦 INVENTORY'!B:J,9,0),""))</f>
        <v/>
      </c>
      <c r="H180" s="44" t="str">
        <f aca="false">IF(OR(F180="",G180=""),"",F180*G180)</f>
        <v/>
      </c>
      <c r="I180" s="43"/>
      <c r="J180" s="43"/>
    </row>
    <row r="181" customFormat="false" ht="18" hidden="false" customHeight="true" outlineLevel="0" collapsed="false">
      <c r="B181" s="40"/>
      <c r="C181" s="41" t="str">
        <f aca="false">IF(B181="","",TEXT(B181,"DDD"))</f>
        <v/>
      </c>
      <c r="D181" s="10"/>
      <c r="E181" s="10"/>
      <c r="F181" s="11"/>
      <c r="G181" s="18" t="str">
        <f aca="false">IF(D181="","",IFERROR(VLOOKUP(D181,'📦 INVENTORY'!B:J,9,0),""))</f>
        <v/>
      </c>
      <c r="H181" s="35" t="str">
        <f aca="false">IF(OR(F181="",G181=""),"",F181*G181)</f>
        <v/>
      </c>
      <c r="I181" s="41"/>
      <c r="J181" s="41"/>
    </row>
    <row r="182" customFormat="false" ht="18" hidden="false" customHeight="true" outlineLevel="0" collapsed="false">
      <c r="B182" s="42"/>
      <c r="C182" s="43" t="str">
        <f aca="false">IF(B182="","",TEXT(B182,"DDD"))</f>
        <v/>
      </c>
      <c r="D182" s="13"/>
      <c r="E182" s="13"/>
      <c r="F182" s="14"/>
      <c r="G182" s="17" t="str">
        <f aca="false">IF(D182="","",IFERROR(VLOOKUP(D182,'📦 INVENTORY'!B:J,9,0),""))</f>
        <v/>
      </c>
      <c r="H182" s="44" t="str">
        <f aca="false">IF(OR(F182="",G182=""),"",F182*G182)</f>
        <v/>
      </c>
      <c r="I182" s="43"/>
      <c r="J182" s="43"/>
    </row>
    <row r="183" customFormat="false" ht="18" hidden="false" customHeight="true" outlineLevel="0" collapsed="false">
      <c r="B183" s="40"/>
      <c r="C183" s="41" t="str">
        <f aca="false">IF(B183="","",TEXT(B183,"DDD"))</f>
        <v/>
      </c>
      <c r="D183" s="10"/>
      <c r="E183" s="10"/>
      <c r="F183" s="11"/>
      <c r="G183" s="18" t="str">
        <f aca="false">IF(D183="","",IFERROR(VLOOKUP(D183,'📦 INVENTORY'!B:J,9,0),""))</f>
        <v/>
      </c>
      <c r="H183" s="35" t="str">
        <f aca="false">IF(OR(F183="",G183=""),"",F183*G183)</f>
        <v/>
      </c>
      <c r="I183" s="41"/>
      <c r="J183" s="41"/>
    </row>
    <row r="184" customFormat="false" ht="18" hidden="false" customHeight="true" outlineLevel="0" collapsed="false">
      <c r="B184" s="42"/>
      <c r="C184" s="43" t="str">
        <f aca="false">IF(B184="","",TEXT(B184,"DDD"))</f>
        <v/>
      </c>
      <c r="D184" s="13"/>
      <c r="E184" s="13"/>
      <c r="F184" s="14"/>
      <c r="G184" s="17" t="str">
        <f aca="false">IF(D184="","",IFERROR(VLOOKUP(D184,'📦 INVENTORY'!B:J,9,0),""))</f>
        <v/>
      </c>
      <c r="H184" s="44" t="str">
        <f aca="false">IF(OR(F184="",G184=""),"",F184*G184)</f>
        <v/>
      </c>
      <c r="I184" s="43"/>
      <c r="J184" s="43"/>
    </row>
    <row r="185" customFormat="false" ht="18" hidden="false" customHeight="true" outlineLevel="0" collapsed="false">
      <c r="B185" s="40"/>
      <c r="C185" s="41" t="str">
        <f aca="false">IF(B185="","",TEXT(B185,"DDD"))</f>
        <v/>
      </c>
      <c r="D185" s="10"/>
      <c r="E185" s="10"/>
      <c r="F185" s="11"/>
      <c r="G185" s="18" t="str">
        <f aca="false">IF(D185="","",IFERROR(VLOOKUP(D185,'📦 INVENTORY'!B:J,9,0),""))</f>
        <v/>
      </c>
      <c r="H185" s="35" t="str">
        <f aca="false">IF(OR(F185="",G185=""),"",F185*G185)</f>
        <v/>
      </c>
      <c r="I185" s="41"/>
      <c r="J185" s="41"/>
    </row>
    <row r="186" customFormat="false" ht="18" hidden="false" customHeight="true" outlineLevel="0" collapsed="false">
      <c r="B186" s="42"/>
      <c r="C186" s="43" t="str">
        <f aca="false">IF(B186="","",TEXT(B186,"DDD"))</f>
        <v/>
      </c>
      <c r="D186" s="13"/>
      <c r="E186" s="13"/>
      <c r="F186" s="14"/>
      <c r="G186" s="17" t="str">
        <f aca="false">IF(D186="","",IFERROR(VLOOKUP(D186,'📦 INVENTORY'!B:J,9,0),""))</f>
        <v/>
      </c>
      <c r="H186" s="44" t="str">
        <f aca="false">IF(OR(F186="",G186=""),"",F186*G186)</f>
        <v/>
      </c>
      <c r="I186" s="43"/>
      <c r="J186" s="43"/>
    </row>
    <row r="187" customFormat="false" ht="18" hidden="false" customHeight="true" outlineLevel="0" collapsed="false">
      <c r="B187" s="40"/>
      <c r="C187" s="41" t="str">
        <f aca="false">IF(B187="","",TEXT(B187,"DDD"))</f>
        <v/>
      </c>
      <c r="D187" s="10"/>
      <c r="E187" s="10"/>
      <c r="F187" s="11"/>
      <c r="G187" s="18" t="str">
        <f aca="false">IF(D187="","",IFERROR(VLOOKUP(D187,'📦 INVENTORY'!B:J,9,0),""))</f>
        <v/>
      </c>
      <c r="H187" s="35" t="str">
        <f aca="false">IF(OR(F187="",G187=""),"",F187*G187)</f>
        <v/>
      </c>
      <c r="I187" s="41"/>
      <c r="J187" s="41"/>
    </row>
    <row r="188" customFormat="false" ht="18" hidden="false" customHeight="true" outlineLevel="0" collapsed="false">
      <c r="B188" s="42"/>
      <c r="C188" s="43" t="str">
        <f aca="false">IF(B188="","",TEXT(B188,"DDD"))</f>
        <v/>
      </c>
      <c r="D188" s="13"/>
      <c r="E188" s="13"/>
      <c r="F188" s="14"/>
      <c r="G188" s="17" t="str">
        <f aca="false">IF(D188="","",IFERROR(VLOOKUP(D188,'📦 INVENTORY'!B:J,9,0),""))</f>
        <v/>
      </c>
      <c r="H188" s="44" t="str">
        <f aca="false">IF(OR(F188="",G188=""),"",F188*G188)</f>
        <v/>
      </c>
      <c r="I188" s="43"/>
      <c r="J188" s="43"/>
    </row>
    <row r="189" customFormat="false" ht="18" hidden="false" customHeight="true" outlineLevel="0" collapsed="false">
      <c r="B189" s="40"/>
      <c r="C189" s="41" t="str">
        <f aca="false">IF(B189="","",TEXT(B189,"DDD"))</f>
        <v/>
      </c>
      <c r="D189" s="10"/>
      <c r="E189" s="10"/>
      <c r="F189" s="11"/>
      <c r="G189" s="18" t="str">
        <f aca="false">IF(D189="","",IFERROR(VLOOKUP(D189,'📦 INVENTORY'!B:J,9,0),""))</f>
        <v/>
      </c>
      <c r="H189" s="35" t="str">
        <f aca="false">IF(OR(F189="",G189=""),"",F189*G189)</f>
        <v/>
      </c>
      <c r="I189" s="41"/>
      <c r="J189" s="41"/>
    </row>
    <row r="190" customFormat="false" ht="18" hidden="false" customHeight="true" outlineLevel="0" collapsed="false">
      <c r="B190" s="42"/>
      <c r="C190" s="43" t="str">
        <f aca="false">IF(B190="","",TEXT(B190,"DDD"))</f>
        <v/>
      </c>
      <c r="D190" s="13"/>
      <c r="E190" s="13"/>
      <c r="F190" s="14"/>
      <c r="G190" s="17" t="str">
        <f aca="false">IF(D190="","",IFERROR(VLOOKUP(D190,'📦 INVENTORY'!B:J,9,0),""))</f>
        <v/>
      </c>
      <c r="H190" s="44" t="str">
        <f aca="false">IF(OR(F190="",G190=""),"",F190*G190)</f>
        <v/>
      </c>
      <c r="I190" s="43"/>
      <c r="J190" s="43"/>
    </row>
    <row r="191" customFormat="false" ht="18" hidden="false" customHeight="true" outlineLevel="0" collapsed="false">
      <c r="B191" s="40"/>
      <c r="C191" s="41" t="str">
        <f aca="false">IF(B191="","",TEXT(B191,"DDD"))</f>
        <v/>
      </c>
      <c r="D191" s="10"/>
      <c r="E191" s="10"/>
      <c r="F191" s="11"/>
      <c r="G191" s="18" t="str">
        <f aca="false">IF(D191="","",IFERROR(VLOOKUP(D191,'📦 INVENTORY'!B:J,9,0),""))</f>
        <v/>
      </c>
      <c r="H191" s="35" t="str">
        <f aca="false">IF(OR(F191="",G191=""),"",F191*G191)</f>
        <v/>
      </c>
      <c r="I191" s="41"/>
      <c r="J191" s="41"/>
    </row>
    <row r="192" customFormat="false" ht="18" hidden="false" customHeight="true" outlineLevel="0" collapsed="false">
      <c r="B192" s="42"/>
      <c r="C192" s="43" t="str">
        <f aca="false">IF(B192="","",TEXT(B192,"DDD"))</f>
        <v/>
      </c>
      <c r="D192" s="13"/>
      <c r="E192" s="13"/>
      <c r="F192" s="14"/>
      <c r="G192" s="17" t="str">
        <f aca="false">IF(D192="","",IFERROR(VLOOKUP(D192,'📦 INVENTORY'!B:J,9,0),""))</f>
        <v/>
      </c>
      <c r="H192" s="44" t="str">
        <f aca="false">IF(OR(F192="",G192=""),"",F192*G192)</f>
        <v/>
      </c>
      <c r="I192" s="43"/>
      <c r="J192" s="43"/>
    </row>
    <row r="193" customFormat="false" ht="18" hidden="false" customHeight="true" outlineLevel="0" collapsed="false">
      <c r="B193" s="40"/>
      <c r="C193" s="41" t="str">
        <f aca="false">IF(B193="","",TEXT(B193,"DDD"))</f>
        <v/>
      </c>
      <c r="D193" s="10"/>
      <c r="E193" s="10"/>
      <c r="F193" s="11"/>
      <c r="G193" s="18" t="str">
        <f aca="false">IF(D193="","",IFERROR(VLOOKUP(D193,'📦 INVENTORY'!B:J,9,0),""))</f>
        <v/>
      </c>
      <c r="H193" s="35" t="str">
        <f aca="false">IF(OR(F193="",G193=""),"",F193*G193)</f>
        <v/>
      </c>
      <c r="I193" s="41"/>
      <c r="J193" s="41"/>
    </row>
    <row r="194" customFormat="false" ht="18" hidden="false" customHeight="true" outlineLevel="0" collapsed="false">
      <c r="B194" s="42"/>
      <c r="C194" s="43" t="str">
        <f aca="false">IF(B194="","",TEXT(B194,"DDD"))</f>
        <v/>
      </c>
      <c r="D194" s="13"/>
      <c r="E194" s="13"/>
      <c r="F194" s="14"/>
      <c r="G194" s="17" t="str">
        <f aca="false">IF(D194="","",IFERROR(VLOOKUP(D194,'📦 INVENTORY'!B:J,9,0),""))</f>
        <v/>
      </c>
      <c r="H194" s="44" t="str">
        <f aca="false">IF(OR(F194="",G194=""),"",F194*G194)</f>
        <v/>
      </c>
      <c r="I194" s="43"/>
      <c r="J194" s="43"/>
    </row>
    <row r="195" customFormat="false" ht="18" hidden="false" customHeight="true" outlineLevel="0" collapsed="false">
      <c r="B195" s="40"/>
      <c r="C195" s="41" t="str">
        <f aca="false">IF(B195="","",TEXT(B195,"DDD"))</f>
        <v/>
      </c>
      <c r="D195" s="10"/>
      <c r="E195" s="10"/>
      <c r="F195" s="11"/>
      <c r="G195" s="18" t="str">
        <f aca="false">IF(D195="","",IFERROR(VLOOKUP(D195,'📦 INVENTORY'!B:J,9,0),""))</f>
        <v/>
      </c>
      <c r="H195" s="35" t="str">
        <f aca="false">IF(OR(F195="",G195=""),"",F195*G195)</f>
        <v/>
      </c>
      <c r="I195" s="41"/>
      <c r="J195" s="41"/>
    </row>
    <row r="196" customFormat="false" ht="18" hidden="false" customHeight="true" outlineLevel="0" collapsed="false">
      <c r="B196" s="42"/>
      <c r="C196" s="43" t="str">
        <f aca="false">IF(B196="","",TEXT(B196,"DDD"))</f>
        <v/>
      </c>
      <c r="D196" s="13"/>
      <c r="E196" s="13"/>
      <c r="F196" s="14"/>
      <c r="G196" s="17" t="str">
        <f aca="false">IF(D196="","",IFERROR(VLOOKUP(D196,'📦 INVENTORY'!B:J,9,0),""))</f>
        <v/>
      </c>
      <c r="H196" s="44" t="str">
        <f aca="false">IF(OR(F196="",G196=""),"",F196*G196)</f>
        <v/>
      </c>
      <c r="I196" s="43"/>
      <c r="J196" s="43"/>
    </row>
    <row r="197" customFormat="false" ht="18" hidden="false" customHeight="true" outlineLevel="0" collapsed="false">
      <c r="B197" s="40"/>
      <c r="C197" s="41" t="str">
        <f aca="false">IF(B197="","",TEXT(B197,"DDD"))</f>
        <v/>
      </c>
      <c r="D197" s="10"/>
      <c r="E197" s="10"/>
      <c r="F197" s="11"/>
      <c r="G197" s="18" t="str">
        <f aca="false">IF(D197="","",IFERROR(VLOOKUP(D197,'📦 INVENTORY'!B:J,9,0),""))</f>
        <v/>
      </c>
      <c r="H197" s="35" t="str">
        <f aca="false">IF(OR(F197="",G197=""),"",F197*G197)</f>
        <v/>
      </c>
      <c r="I197" s="41"/>
      <c r="J197" s="41"/>
    </row>
    <row r="198" customFormat="false" ht="18" hidden="false" customHeight="true" outlineLevel="0" collapsed="false">
      <c r="B198" s="42"/>
      <c r="C198" s="43" t="str">
        <f aca="false">IF(B198="","",TEXT(B198,"DDD"))</f>
        <v/>
      </c>
      <c r="D198" s="13"/>
      <c r="E198" s="13"/>
      <c r="F198" s="14"/>
      <c r="G198" s="17" t="str">
        <f aca="false">IF(D198="","",IFERROR(VLOOKUP(D198,'📦 INVENTORY'!B:J,9,0),""))</f>
        <v/>
      </c>
      <c r="H198" s="44" t="str">
        <f aca="false">IF(OR(F198="",G198=""),"",F198*G198)</f>
        <v/>
      </c>
      <c r="I198" s="43"/>
      <c r="J198" s="43"/>
    </row>
    <row r="199" customFormat="false" ht="18" hidden="false" customHeight="true" outlineLevel="0" collapsed="false">
      <c r="B199" s="40"/>
      <c r="C199" s="41" t="str">
        <f aca="false">IF(B199="","",TEXT(B199,"DDD"))</f>
        <v/>
      </c>
      <c r="D199" s="10"/>
      <c r="E199" s="10"/>
      <c r="F199" s="11"/>
      <c r="G199" s="18" t="str">
        <f aca="false">IF(D199="","",IFERROR(VLOOKUP(D199,'📦 INVENTORY'!B:J,9,0),""))</f>
        <v/>
      </c>
      <c r="H199" s="35" t="str">
        <f aca="false">IF(OR(F199="",G199=""),"",F199*G199)</f>
        <v/>
      </c>
      <c r="I199" s="41"/>
      <c r="J199" s="41"/>
    </row>
    <row r="200" customFormat="false" ht="18" hidden="false" customHeight="true" outlineLevel="0" collapsed="false">
      <c r="B200" s="42"/>
      <c r="C200" s="43" t="str">
        <f aca="false">IF(B200="","",TEXT(B200,"DDD"))</f>
        <v/>
      </c>
      <c r="D200" s="13"/>
      <c r="E200" s="13"/>
      <c r="F200" s="14"/>
      <c r="G200" s="17" t="str">
        <f aca="false">IF(D200="","",IFERROR(VLOOKUP(D200,'📦 INVENTORY'!B:J,9,0),""))</f>
        <v/>
      </c>
      <c r="H200" s="44" t="str">
        <f aca="false">IF(OR(F200="",G200=""),"",F200*G200)</f>
        <v/>
      </c>
      <c r="I200" s="43"/>
      <c r="J200" s="43"/>
    </row>
    <row r="201" customFormat="false" ht="18" hidden="false" customHeight="true" outlineLevel="0" collapsed="false">
      <c r="B201" s="40"/>
      <c r="C201" s="41" t="str">
        <f aca="false">IF(B201="","",TEXT(B201,"DDD"))</f>
        <v/>
      </c>
      <c r="D201" s="10"/>
      <c r="E201" s="10"/>
      <c r="F201" s="11"/>
      <c r="G201" s="18" t="str">
        <f aca="false">IF(D201="","",IFERROR(VLOOKUP(D201,'📦 INVENTORY'!B:J,9,0),""))</f>
        <v/>
      </c>
      <c r="H201" s="35" t="str">
        <f aca="false">IF(OR(F201="",G201=""),"",F201*G201)</f>
        <v/>
      </c>
      <c r="I201" s="41"/>
      <c r="J201" s="41"/>
    </row>
    <row r="202" customFormat="false" ht="18" hidden="false" customHeight="true" outlineLevel="0" collapsed="false">
      <c r="B202" s="42"/>
      <c r="C202" s="43" t="str">
        <f aca="false">IF(B202="","",TEXT(B202,"DDD"))</f>
        <v/>
      </c>
      <c r="D202" s="13"/>
      <c r="E202" s="13"/>
      <c r="F202" s="14"/>
      <c r="G202" s="17" t="str">
        <f aca="false">IF(D202="","",IFERROR(VLOOKUP(D202,'📦 INVENTORY'!B:J,9,0),""))</f>
        <v/>
      </c>
      <c r="H202" s="44" t="str">
        <f aca="false">IF(OR(F202="",G202=""),"",F202*G202)</f>
        <v/>
      </c>
      <c r="I202" s="43"/>
      <c r="J202" s="43"/>
    </row>
    <row r="203" customFormat="false" ht="18" hidden="false" customHeight="true" outlineLevel="0" collapsed="false">
      <c r="B203" s="40"/>
      <c r="C203" s="41" t="str">
        <f aca="false">IF(B203="","",TEXT(B203,"DDD"))</f>
        <v/>
      </c>
      <c r="D203" s="10"/>
      <c r="E203" s="10"/>
      <c r="F203" s="11"/>
      <c r="G203" s="18" t="str">
        <f aca="false">IF(D203="","",IFERROR(VLOOKUP(D203,'📦 INVENTORY'!B:J,9,0),""))</f>
        <v/>
      </c>
      <c r="H203" s="35" t="str">
        <f aca="false">IF(OR(F203="",G203=""),"",F203*G203)</f>
        <v/>
      </c>
      <c r="I203" s="41"/>
      <c r="J203" s="41"/>
    </row>
    <row r="204" customFormat="false" ht="18" hidden="false" customHeight="true" outlineLevel="0" collapsed="false">
      <c r="B204" s="42"/>
      <c r="C204" s="43" t="str">
        <f aca="false">IF(B204="","",TEXT(B204,"DDD"))</f>
        <v/>
      </c>
      <c r="D204" s="13"/>
      <c r="E204" s="13"/>
      <c r="F204" s="14"/>
      <c r="G204" s="17" t="str">
        <f aca="false">IF(D204="","",IFERROR(VLOOKUP(D204,'📦 INVENTORY'!B:J,9,0),""))</f>
        <v/>
      </c>
      <c r="H204" s="44" t="str">
        <f aca="false">IF(OR(F204="",G204=""),"",F204*G204)</f>
        <v/>
      </c>
      <c r="I204" s="43"/>
      <c r="J204" s="43"/>
    </row>
    <row r="205" customFormat="false" ht="18" hidden="false" customHeight="true" outlineLevel="0" collapsed="false">
      <c r="B205" s="40"/>
      <c r="C205" s="41" t="str">
        <f aca="false">IF(B205="","",TEXT(B205,"DDD"))</f>
        <v/>
      </c>
      <c r="D205" s="10"/>
      <c r="E205" s="10"/>
      <c r="F205" s="11"/>
      <c r="G205" s="18" t="str">
        <f aca="false">IF(D205="","",IFERROR(VLOOKUP(D205,'📦 INVENTORY'!B:J,9,0),""))</f>
        <v/>
      </c>
      <c r="H205" s="35" t="str">
        <f aca="false">IF(OR(F205="",G205=""),"",F205*G205)</f>
        <v/>
      </c>
      <c r="I205" s="41"/>
      <c r="J205" s="41"/>
    </row>
    <row r="206" customFormat="false" ht="18" hidden="false" customHeight="true" outlineLevel="0" collapsed="false">
      <c r="B206" s="42"/>
      <c r="C206" s="43" t="str">
        <f aca="false">IF(B206="","",TEXT(B206,"DDD"))</f>
        <v/>
      </c>
      <c r="D206" s="13"/>
      <c r="E206" s="13"/>
      <c r="F206" s="14"/>
      <c r="G206" s="17" t="str">
        <f aca="false">IF(D206="","",IFERROR(VLOOKUP(D206,'📦 INVENTORY'!B:J,9,0),""))</f>
        <v/>
      </c>
      <c r="H206" s="44" t="str">
        <f aca="false">IF(OR(F206="",G206=""),"",F206*G206)</f>
        <v/>
      </c>
      <c r="I206" s="43"/>
      <c r="J206" s="43"/>
    </row>
    <row r="207" customFormat="false" ht="18" hidden="false" customHeight="true" outlineLevel="0" collapsed="false">
      <c r="B207" s="40"/>
      <c r="C207" s="41" t="str">
        <f aca="false">IF(B207="","",TEXT(B207,"DDD"))</f>
        <v/>
      </c>
      <c r="D207" s="10"/>
      <c r="E207" s="10"/>
      <c r="F207" s="11"/>
      <c r="G207" s="18" t="str">
        <f aca="false">IF(D207="","",IFERROR(VLOOKUP(D207,'📦 INVENTORY'!B:J,9,0),""))</f>
        <v/>
      </c>
      <c r="H207" s="35" t="str">
        <f aca="false">IF(OR(F207="",G207=""),"",F207*G207)</f>
        <v/>
      </c>
      <c r="I207" s="41"/>
      <c r="J207" s="41"/>
    </row>
    <row r="208" customFormat="false" ht="18" hidden="false" customHeight="true" outlineLevel="0" collapsed="false">
      <c r="B208" s="42"/>
      <c r="C208" s="43" t="str">
        <f aca="false">IF(B208="","",TEXT(B208,"DDD"))</f>
        <v/>
      </c>
      <c r="D208" s="13"/>
      <c r="E208" s="13"/>
      <c r="F208" s="14"/>
      <c r="G208" s="17" t="str">
        <f aca="false">IF(D208="","",IFERROR(VLOOKUP(D208,'📦 INVENTORY'!B:J,9,0),""))</f>
        <v/>
      </c>
      <c r="H208" s="44" t="str">
        <f aca="false">IF(OR(F208="",G208=""),"",F208*G208)</f>
        <v/>
      </c>
      <c r="I208" s="43"/>
      <c r="J208" s="43"/>
    </row>
    <row r="209" customFormat="false" ht="18" hidden="false" customHeight="true" outlineLevel="0" collapsed="false">
      <c r="B209" s="40"/>
      <c r="C209" s="41" t="str">
        <f aca="false">IF(B209="","",TEXT(B209,"DDD"))</f>
        <v/>
      </c>
      <c r="D209" s="10"/>
      <c r="E209" s="10"/>
      <c r="F209" s="11"/>
      <c r="G209" s="18" t="str">
        <f aca="false">IF(D209="","",IFERROR(VLOOKUP(D209,'📦 INVENTORY'!B:J,9,0),""))</f>
        <v/>
      </c>
      <c r="H209" s="35" t="str">
        <f aca="false">IF(OR(F209="",G209=""),"",F209*G209)</f>
        <v/>
      </c>
      <c r="I209" s="41"/>
      <c r="J209" s="41"/>
    </row>
    <row r="210" customFormat="false" ht="18" hidden="false" customHeight="true" outlineLevel="0" collapsed="false">
      <c r="B210" s="42"/>
      <c r="C210" s="43" t="str">
        <f aca="false">IF(B210="","",TEXT(B210,"DDD"))</f>
        <v/>
      </c>
      <c r="D210" s="13"/>
      <c r="E210" s="13"/>
      <c r="F210" s="14"/>
      <c r="G210" s="17" t="str">
        <f aca="false">IF(D210="","",IFERROR(VLOOKUP(D210,'📦 INVENTORY'!B:J,9,0),""))</f>
        <v/>
      </c>
      <c r="H210" s="44" t="str">
        <f aca="false">IF(OR(F210="",G210=""),"",F210*G210)</f>
        <v/>
      </c>
      <c r="I210" s="43"/>
      <c r="J210" s="43"/>
    </row>
    <row r="211" customFormat="false" ht="18" hidden="false" customHeight="true" outlineLevel="0" collapsed="false">
      <c r="B211" s="40"/>
      <c r="C211" s="41" t="str">
        <f aca="false">IF(B211="","",TEXT(B211,"DDD"))</f>
        <v/>
      </c>
      <c r="D211" s="10"/>
      <c r="E211" s="10"/>
      <c r="F211" s="11"/>
      <c r="G211" s="18" t="str">
        <f aca="false">IF(D211="","",IFERROR(VLOOKUP(D211,'📦 INVENTORY'!B:J,9,0),""))</f>
        <v/>
      </c>
      <c r="H211" s="35" t="str">
        <f aca="false">IF(OR(F211="",G211=""),"",F211*G211)</f>
        <v/>
      </c>
      <c r="I211" s="41"/>
      <c r="J211" s="41"/>
    </row>
    <row r="212" customFormat="false" ht="18" hidden="false" customHeight="true" outlineLevel="0" collapsed="false">
      <c r="B212" s="42"/>
      <c r="C212" s="43" t="str">
        <f aca="false">IF(B212="","",TEXT(B212,"DDD"))</f>
        <v/>
      </c>
      <c r="D212" s="13"/>
      <c r="E212" s="13"/>
      <c r="F212" s="14"/>
      <c r="G212" s="17" t="str">
        <f aca="false">IF(D212="","",IFERROR(VLOOKUP(D212,'📦 INVENTORY'!B:J,9,0),""))</f>
        <v/>
      </c>
      <c r="H212" s="44" t="str">
        <f aca="false">IF(OR(F212="",G212=""),"",F212*G212)</f>
        <v/>
      </c>
      <c r="I212" s="43"/>
      <c r="J212" s="43"/>
    </row>
    <row r="213" customFormat="false" ht="18" hidden="false" customHeight="true" outlineLevel="0" collapsed="false">
      <c r="B213" s="40"/>
      <c r="C213" s="41" t="str">
        <f aca="false">IF(B213="","",TEXT(B213,"DDD"))</f>
        <v/>
      </c>
      <c r="D213" s="10"/>
      <c r="E213" s="10"/>
      <c r="F213" s="11"/>
      <c r="G213" s="18" t="str">
        <f aca="false">IF(D213="","",IFERROR(VLOOKUP(D213,'📦 INVENTORY'!B:J,9,0),""))</f>
        <v/>
      </c>
      <c r="H213" s="35" t="str">
        <f aca="false">IF(OR(F213="",G213=""),"",F213*G213)</f>
        <v/>
      </c>
      <c r="I213" s="41"/>
      <c r="J213" s="41"/>
    </row>
    <row r="214" customFormat="false" ht="18" hidden="false" customHeight="true" outlineLevel="0" collapsed="false">
      <c r="B214" s="42"/>
      <c r="C214" s="43" t="str">
        <f aca="false">IF(B214="","",TEXT(B214,"DDD"))</f>
        <v/>
      </c>
      <c r="D214" s="13"/>
      <c r="E214" s="13"/>
      <c r="F214" s="14"/>
      <c r="G214" s="17" t="str">
        <f aca="false">IF(D214="","",IFERROR(VLOOKUP(D214,'📦 INVENTORY'!B:J,9,0),""))</f>
        <v/>
      </c>
      <c r="H214" s="44" t="str">
        <f aca="false">IF(OR(F214="",G214=""),"",F214*G214)</f>
        <v/>
      </c>
      <c r="I214" s="43"/>
      <c r="J214" s="43"/>
    </row>
    <row r="215" customFormat="false" ht="18" hidden="false" customHeight="true" outlineLevel="0" collapsed="false">
      <c r="B215" s="40"/>
      <c r="C215" s="41" t="str">
        <f aca="false">IF(B215="","",TEXT(B215,"DDD"))</f>
        <v/>
      </c>
      <c r="D215" s="10"/>
      <c r="E215" s="10"/>
      <c r="F215" s="11"/>
      <c r="G215" s="18" t="str">
        <f aca="false">IF(D215="","",IFERROR(VLOOKUP(D215,'📦 INVENTORY'!B:J,9,0),""))</f>
        <v/>
      </c>
      <c r="H215" s="35" t="str">
        <f aca="false">IF(OR(F215="",G215=""),"",F215*G215)</f>
        <v/>
      </c>
      <c r="I215" s="41"/>
      <c r="J215" s="41"/>
    </row>
    <row r="216" customFormat="false" ht="18" hidden="false" customHeight="true" outlineLevel="0" collapsed="false">
      <c r="B216" s="42"/>
      <c r="C216" s="43" t="str">
        <f aca="false">IF(B216="","",TEXT(B216,"DDD"))</f>
        <v/>
      </c>
      <c r="D216" s="13"/>
      <c r="E216" s="13"/>
      <c r="F216" s="14"/>
      <c r="G216" s="17" t="str">
        <f aca="false">IF(D216="","",IFERROR(VLOOKUP(D216,'📦 INVENTORY'!B:J,9,0),""))</f>
        <v/>
      </c>
      <c r="H216" s="44" t="str">
        <f aca="false">IF(OR(F216="",G216=""),"",F216*G216)</f>
        <v/>
      </c>
      <c r="I216" s="43"/>
      <c r="J216" s="43"/>
    </row>
    <row r="217" customFormat="false" ht="18" hidden="false" customHeight="true" outlineLevel="0" collapsed="false">
      <c r="B217" s="40"/>
      <c r="C217" s="41" t="str">
        <f aca="false">IF(B217="","",TEXT(B217,"DDD"))</f>
        <v/>
      </c>
      <c r="D217" s="10"/>
      <c r="E217" s="10"/>
      <c r="F217" s="11"/>
      <c r="G217" s="18" t="str">
        <f aca="false">IF(D217="","",IFERROR(VLOOKUP(D217,'📦 INVENTORY'!B:J,9,0),""))</f>
        <v/>
      </c>
      <c r="H217" s="35" t="str">
        <f aca="false">IF(OR(F217="",G217=""),"",F217*G217)</f>
        <v/>
      </c>
      <c r="I217" s="41"/>
      <c r="J217" s="41"/>
    </row>
    <row r="218" customFormat="false" ht="18" hidden="false" customHeight="true" outlineLevel="0" collapsed="false">
      <c r="B218" s="42"/>
      <c r="C218" s="43" t="str">
        <f aca="false">IF(B218="","",TEXT(B218,"DDD"))</f>
        <v/>
      </c>
      <c r="D218" s="13"/>
      <c r="E218" s="13"/>
      <c r="F218" s="14"/>
      <c r="G218" s="17" t="str">
        <f aca="false">IF(D218="","",IFERROR(VLOOKUP(D218,'📦 INVENTORY'!B:J,9,0),""))</f>
        <v/>
      </c>
      <c r="H218" s="44" t="str">
        <f aca="false">IF(OR(F218="",G218=""),"",F218*G218)</f>
        <v/>
      </c>
      <c r="I218" s="43"/>
      <c r="J218" s="43"/>
    </row>
    <row r="219" customFormat="false" ht="18" hidden="false" customHeight="true" outlineLevel="0" collapsed="false">
      <c r="B219" s="40"/>
      <c r="C219" s="41" t="str">
        <f aca="false">IF(B219="","",TEXT(B219,"DDD"))</f>
        <v/>
      </c>
      <c r="D219" s="10"/>
      <c r="E219" s="10"/>
      <c r="F219" s="11"/>
      <c r="G219" s="18" t="str">
        <f aca="false">IF(D219="","",IFERROR(VLOOKUP(D219,'📦 INVENTORY'!B:J,9,0),""))</f>
        <v/>
      </c>
      <c r="H219" s="35" t="str">
        <f aca="false">IF(OR(F219="",G219=""),"",F219*G219)</f>
        <v/>
      </c>
      <c r="I219" s="41"/>
      <c r="J219" s="41"/>
    </row>
    <row r="220" customFormat="false" ht="18" hidden="false" customHeight="true" outlineLevel="0" collapsed="false">
      <c r="B220" s="42"/>
      <c r="C220" s="43" t="str">
        <f aca="false">IF(B220="","",TEXT(B220,"DDD"))</f>
        <v/>
      </c>
      <c r="D220" s="13"/>
      <c r="E220" s="13"/>
      <c r="F220" s="14"/>
      <c r="G220" s="17" t="str">
        <f aca="false">IF(D220="","",IFERROR(VLOOKUP(D220,'📦 INVENTORY'!B:J,9,0),""))</f>
        <v/>
      </c>
      <c r="H220" s="44" t="str">
        <f aca="false">IF(OR(F220="",G220=""),"",F220*G220)</f>
        <v/>
      </c>
      <c r="I220" s="43"/>
      <c r="J220" s="43"/>
    </row>
    <row r="221" customFormat="false" ht="18" hidden="false" customHeight="true" outlineLevel="0" collapsed="false">
      <c r="B221" s="40"/>
      <c r="C221" s="41" t="str">
        <f aca="false">IF(B221="","",TEXT(B221,"DDD"))</f>
        <v/>
      </c>
      <c r="D221" s="10"/>
      <c r="E221" s="10"/>
      <c r="F221" s="11"/>
      <c r="G221" s="18" t="str">
        <f aca="false">IF(D221="","",IFERROR(VLOOKUP(D221,'📦 INVENTORY'!B:J,9,0),""))</f>
        <v/>
      </c>
      <c r="H221" s="35" t="str">
        <f aca="false">IF(OR(F221="",G221=""),"",F221*G221)</f>
        <v/>
      </c>
      <c r="I221" s="41"/>
      <c r="J221" s="41"/>
    </row>
    <row r="222" customFormat="false" ht="18" hidden="false" customHeight="true" outlineLevel="0" collapsed="false">
      <c r="B222" s="42"/>
      <c r="C222" s="43" t="str">
        <f aca="false">IF(B222="","",TEXT(B222,"DDD"))</f>
        <v/>
      </c>
      <c r="D222" s="13"/>
      <c r="E222" s="13"/>
      <c r="F222" s="14"/>
      <c r="G222" s="17" t="str">
        <f aca="false">IF(D222="","",IFERROR(VLOOKUP(D222,'📦 INVENTORY'!B:J,9,0),""))</f>
        <v/>
      </c>
      <c r="H222" s="44" t="str">
        <f aca="false">IF(OR(F222="",G222=""),"",F222*G222)</f>
        <v/>
      </c>
      <c r="I222" s="43"/>
      <c r="J222" s="43"/>
    </row>
    <row r="223" customFormat="false" ht="18" hidden="false" customHeight="true" outlineLevel="0" collapsed="false">
      <c r="B223" s="40"/>
      <c r="C223" s="41" t="str">
        <f aca="false">IF(B223="","",TEXT(B223,"DDD"))</f>
        <v/>
      </c>
      <c r="D223" s="10"/>
      <c r="E223" s="10"/>
      <c r="F223" s="11"/>
      <c r="G223" s="18" t="str">
        <f aca="false">IF(D223="","",IFERROR(VLOOKUP(D223,'📦 INVENTORY'!B:J,9,0),""))</f>
        <v/>
      </c>
      <c r="H223" s="35" t="str">
        <f aca="false">IF(OR(F223="",G223=""),"",F223*G223)</f>
        <v/>
      </c>
      <c r="I223" s="41"/>
      <c r="J223" s="41"/>
    </row>
    <row r="224" customFormat="false" ht="18" hidden="false" customHeight="true" outlineLevel="0" collapsed="false">
      <c r="B224" s="42"/>
      <c r="C224" s="43" t="str">
        <f aca="false">IF(B224="","",TEXT(B224,"DDD"))</f>
        <v/>
      </c>
      <c r="D224" s="13"/>
      <c r="E224" s="13"/>
      <c r="F224" s="14"/>
      <c r="G224" s="17" t="str">
        <f aca="false">IF(D224="","",IFERROR(VLOOKUP(D224,'📦 INVENTORY'!B:J,9,0),""))</f>
        <v/>
      </c>
      <c r="H224" s="44" t="str">
        <f aca="false">IF(OR(F224="",G224=""),"",F224*G224)</f>
        <v/>
      </c>
      <c r="I224" s="43"/>
      <c r="J224" s="43"/>
    </row>
    <row r="225" customFormat="false" ht="18" hidden="false" customHeight="true" outlineLevel="0" collapsed="false">
      <c r="B225" s="40"/>
      <c r="C225" s="41" t="str">
        <f aca="false">IF(B225="","",TEXT(B225,"DDD"))</f>
        <v/>
      </c>
      <c r="D225" s="10"/>
      <c r="E225" s="10"/>
      <c r="F225" s="11"/>
      <c r="G225" s="18" t="str">
        <f aca="false">IF(D225="","",IFERROR(VLOOKUP(D225,'📦 INVENTORY'!B:J,9,0),""))</f>
        <v/>
      </c>
      <c r="H225" s="35" t="str">
        <f aca="false">IF(OR(F225="",G225=""),"",F225*G225)</f>
        <v/>
      </c>
      <c r="I225" s="41"/>
      <c r="J225" s="41"/>
    </row>
    <row r="226" customFormat="false" ht="18" hidden="false" customHeight="true" outlineLevel="0" collapsed="false">
      <c r="B226" s="42"/>
      <c r="C226" s="43" t="str">
        <f aca="false">IF(B226="","",TEXT(B226,"DDD"))</f>
        <v/>
      </c>
      <c r="D226" s="13"/>
      <c r="E226" s="13"/>
      <c r="F226" s="14"/>
      <c r="G226" s="17" t="str">
        <f aca="false">IF(D226="","",IFERROR(VLOOKUP(D226,'📦 INVENTORY'!B:J,9,0),""))</f>
        <v/>
      </c>
      <c r="H226" s="44" t="str">
        <f aca="false">IF(OR(F226="",G226=""),"",F226*G226)</f>
        <v/>
      </c>
      <c r="I226" s="43"/>
      <c r="J226" s="43"/>
    </row>
    <row r="227" customFormat="false" ht="18" hidden="false" customHeight="true" outlineLevel="0" collapsed="false">
      <c r="B227" s="40"/>
      <c r="C227" s="41" t="str">
        <f aca="false">IF(B227="","",TEXT(B227,"DDD"))</f>
        <v/>
      </c>
      <c r="D227" s="10"/>
      <c r="E227" s="10"/>
      <c r="F227" s="11"/>
      <c r="G227" s="18" t="str">
        <f aca="false">IF(D227="","",IFERROR(VLOOKUP(D227,'📦 INVENTORY'!B:J,9,0),""))</f>
        <v/>
      </c>
      <c r="H227" s="35" t="str">
        <f aca="false">IF(OR(F227="",G227=""),"",F227*G227)</f>
        <v/>
      </c>
      <c r="I227" s="41"/>
      <c r="J227" s="41"/>
    </row>
    <row r="228" customFormat="false" ht="18" hidden="false" customHeight="true" outlineLevel="0" collapsed="false">
      <c r="B228" s="42"/>
      <c r="C228" s="43" t="str">
        <f aca="false">IF(B228="","",TEXT(B228,"DDD"))</f>
        <v/>
      </c>
      <c r="D228" s="13"/>
      <c r="E228" s="13"/>
      <c r="F228" s="14"/>
      <c r="G228" s="17" t="str">
        <f aca="false">IF(D228="","",IFERROR(VLOOKUP(D228,'📦 INVENTORY'!B:J,9,0),""))</f>
        <v/>
      </c>
      <c r="H228" s="44" t="str">
        <f aca="false">IF(OR(F228="",G228=""),"",F228*G228)</f>
        <v/>
      </c>
      <c r="I228" s="43"/>
      <c r="J228" s="43"/>
    </row>
    <row r="229" customFormat="false" ht="18" hidden="false" customHeight="true" outlineLevel="0" collapsed="false">
      <c r="B229" s="40"/>
      <c r="C229" s="41" t="str">
        <f aca="false">IF(B229="","",TEXT(B229,"DDD"))</f>
        <v/>
      </c>
      <c r="D229" s="10"/>
      <c r="E229" s="10"/>
      <c r="F229" s="11"/>
      <c r="G229" s="18" t="str">
        <f aca="false">IF(D229="","",IFERROR(VLOOKUP(D229,'📦 INVENTORY'!B:J,9,0),""))</f>
        <v/>
      </c>
      <c r="H229" s="35" t="str">
        <f aca="false">IF(OR(F229="",G229=""),"",F229*G229)</f>
        <v/>
      </c>
      <c r="I229" s="41"/>
      <c r="J229" s="41"/>
    </row>
    <row r="230" customFormat="false" ht="18" hidden="false" customHeight="true" outlineLevel="0" collapsed="false">
      <c r="B230" s="42"/>
      <c r="C230" s="43" t="str">
        <f aca="false">IF(B230="","",TEXT(B230,"DDD"))</f>
        <v/>
      </c>
      <c r="D230" s="13"/>
      <c r="E230" s="13"/>
      <c r="F230" s="14"/>
      <c r="G230" s="17" t="str">
        <f aca="false">IF(D230="","",IFERROR(VLOOKUP(D230,'📦 INVENTORY'!B:J,9,0),""))</f>
        <v/>
      </c>
      <c r="H230" s="44" t="str">
        <f aca="false">IF(OR(F230="",G230=""),"",F230*G230)</f>
        <v/>
      </c>
      <c r="I230" s="43"/>
      <c r="J230" s="43"/>
    </row>
    <row r="231" customFormat="false" ht="18" hidden="false" customHeight="true" outlineLevel="0" collapsed="false">
      <c r="B231" s="40"/>
      <c r="C231" s="41" t="str">
        <f aca="false">IF(B231="","",TEXT(B231,"DDD"))</f>
        <v/>
      </c>
      <c r="D231" s="10"/>
      <c r="E231" s="10"/>
      <c r="F231" s="11"/>
      <c r="G231" s="18" t="str">
        <f aca="false">IF(D231="","",IFERROR(VLOOKUP(D231,'📦 INVENTORY'!B:J,9,0),""))</f>
        <v/>
      </c>
      <c r="H231" s="35" t="str">
        <f aca="false">IF(OR(F231="",G231=""),"",F231*G231)</f>
        <v/>
      </c>
      <c r="I231" s="41"/>
      <c r="J231" s="41"/>
    </row>
    <row r="232" customFormat="false" ht="18" hidden="false" customHeight="true" outlineLevel="0" collapsed="false">
      <c r="B232" s="42"/>
      <c r="C232" s="43" t="str">
        <f aca="false">IF(B232="","",TEXT(B232,"DDD"))</f>
        <v/>
      </c>
      <c r="D232" s="13"/>
      <c r="E232" s="13"/>
      <c r="F232" s="14"/>
      <c r="G232" s="17" t="str">
        <f aca="false">IF(D232="","",IFERROR(VLOOKUP(D232,'📦 INVENTORY'!B:J,9,0),""))</f>
        <v/>
      </c>
      <c r="H232" s="44" t="str">
        <f aca="false">IF(OR(F232="",G232=""),"",F232*G232)</f>
        <v/>
      </c>
      <c r="I232" s="43"/>
      <c r="J232" s="43"/>
    </row>
    <row r="233" customFormat="false" ht="18" hidden="false" customHeight="true" outlineLevel="0" collapsed="false">
      <c r="B233" s="40"/>
      <c r="C233" s="41" t="str">
        <f aca="false">IF(B233="","",TEXT(B233,"DDD"))</f>
        <v/>
      </c>
      <c r="D233" s="10"/>
      <c r="E233" s="10"/>
      <c r="F233" s="11"/>
      <c r="G233" s="18" t="str">
        <f aca="false">IF(D233="","",IFERROR(VLOOKUP(D233,'📦 INVENTORY'!B:J,9,0),""))</f>
        <v/>
      </c>
      <c r="H233" s="35" t="str">
        <f aca="false">IF(OR(F233="",G233=""),"",F233*G233)</f>
        <v/>
      </c>
      <c r="I233" s="41"/>
      <c r="J233" s="41"/>
    </row>
    <row r="234" customFormat="false" ht="18" hidden="false" customHeight="true" outlineLevel="0" collapsed="false">
      <c r="B234" s="42"/>
      <c r="C234" s="43" t="str">
        <f aca="false">IF(B234="","",TEXT(B234,"DDD"))</f>
        <v/>
      </c>
      <c r="D234" s="13"/>
      <c r="E234" s="13"/>
      <c r="F234" s="14"/>
      <c r="G234" s="17" t="str">
        <f aca="false">IF(D234="","",IFERROR(VLOOKUP(D234,'📦 INVENTORY'!B:J,9,0),""))</f>
        <v/>
      </c>
      <c r="H234" s="44" t="str">
        <f aca="false">IF(OR(F234="",G234=""),"",F234*G234)</f>
        <v/>
      </c>
      <c r="I234" s="43"/>
      <c r="J234" s="43"/>
    </row>
    <row r="235" customFormat="false" ht="18" hidden="false" customHeight="true" outlineLevel="0" collapsed="false">
      <c r="B235" s="40"/>
      <c r="C235" s="41" t="str">
        <f aca="false">IF(B235="","",TEXT(B235,"DDD"))</f>
        <v/>
      </c>
      <c r="D235" s="10"/>
      <c r="E235" s="10"/>
      <c r="F235" s="11"/>
      <c r="G235" s="18" t="str">
        <f aca="false">IF(D235="","",IFERROR(VLOOKUP(D235,'📦 INVENTORY'!B:J,9,0),""))</f>
        <v/>
      </c>
      <c r="H235" s="35" t="str">
        <f aca="false">IF(OR(F235="",G235=""),"",F235*G235)</f>
        <v/>
      </c>
      <c r="I235" s="41"/>
      <c r="J235" s="41"/>
    </row>
    <row r="236" customFormat="false" ht="18" hidden="false" customHeight="true" outlineLevel="0" collapsed="false">
      <c r="B236" s="42"/>
      <c r="C236" s="43" t="str">
        <f aca="false">IF(B236="","",TEXT(B236,"DDD"))</f>
        <v/>
      </c>
      <c r="D236" s="13"/>
      <c r="E236" s="13"/>
      <c r="F236" s="14"/>
      <c r="G236" s="17" t="str">
        <f aca="false">IF(D236="","",IFERROR(VLOOKUP(D236,'📦 INVENTORY'!B:J,9,0),""))</f>
        <v/>
      </c>
      <c r="H236" s="44" t="str">
        <f aca="false">IF(OR(F236="",G236=""),"",F236*G236)</f>
        <v/>
      </c>
      <c r="I236" s="43"/>
      <c r="J236" s="43"/>
    </row>
    <row r="237" customFormat="false" ht="18" hidden="false" customHeight="true" outlineLevel="0" collapsed="false">
      <c r="B237" s="40"/>
      <c r="C237" s="41" t="str">
        <f aca="false">IF(B237="","",TEXT(B237,"DDD"))</f>
        <v/>
      </c>
      <c r="D237" s="10"/>
      <c r="E237" s="10"/>
      <c r="F237" s="11"/>
      <c r="G237" s="18" t="str">
        <f aca="false">IF(D237="","",IFERROR(VLOOKUP(D237,'📦 INVENTORY'!B:J,9,0),""))</f>
        <v/>
      </c>
      <c r="H237" s="35" t="str">
        <f aca="false">IF(OR(F237="",G237=""),"",F237*G237)</f>
        <v/>
      </c>
      <c r="I237" s="41"/>
      <c r="J237" s="41"/>
    </row>
    <row r="238" customFormat="false" ht="18" hidden="false" customHeight="true" outlineLevel="0" collapsed="false">
      <c r="B238" s="42"/>
      <c r="C238" s="43" t="str">
        <f aca="false">IF(B238="","",TEXT(B238,"DDD"))</f>
        <v/>
      </c>
      <c r="D238" s="13"/>
      <c r="E238" s="13"/>
      <c r="F238" s="14"/>
      <c r="G238" s="17" t="str">
        <f aca="false">IF(D238="","",IFERROR(VLOOKUP(D238,'📦 INVENTORY'!B:J,9,0),""))</f>
        <v/>
      </c>
      <c r="H238" s="44" t="str">
        <f aca="false">IF(OR(F238="",G238=""),"",F238*G238)</f>
        <v/>
      </c>
      <c r="I238" s="43"/>
      <c r="J238" s="43"/>
    </row>
    <row r="239" customFormat="false" ht="18" hidden="false" customHeight="true" outlineLevel="0" collapsed="false">
      <c r="B239" s="40"/>
      <c r="C239" s="41" t="str">
        <f aca="false">IF(B239="","",TEXT(B239,"DDD"))</f>
        <v/>
      </c>
      <c r="D239" s="10"/>
      <c r="E239" s="10"/>
      <c r="F239" s="11"/>
      <c r="G239" s="18" t="str">
        <f aca="false">IF(D239="","",IFERROR(VLOOKUP(D239,'📦 INVENTORY'!B:J,9,0),""))</f>
        <v/>
      </c>
      <c r="H239" s="35" t="str">
        <f aca="false">IF(OR(F239="",G239=""),"",F239*G239)</f>
        <v/>
      </c>
      <c r="I239" s="41"/>
      <c r="J239" s="41"/>
    </row>
    <row r="240" customFormat="false" ht="18" hidden="false" customHeight="true" outlineLevel="0" collapsed="false">
      <c r="B240" s="42"/>
      <c r="C240" s="43" t="str">
        <f aca="false">IF(B240="","",TEXT(B240,"DDD"))</f>
        <v/>
      </c>
      <c r="D240" s="13"/>
      <c r="E240" s="13"/>
      <c r="F240" s="14"/>
      <c r="G240" s="17" t="str">
        <f aca="false">IF(D240="","",IFERROR(VLOOKUP(D240,'📦 INVENTORY'!B:J,9,0),""))</f>
        <v/>
      </c>
      <c r="H240" s="44" t="str">
        <f aca="false">IF(OR(F240="",G240=""),"",F240*G240)</f>
        <v/>
      </c>
      <c r="I240" s="43"/>
      <c r="J240" s="43"/>
    </row>
    <row r="241" customFormat="false" ht="18" hidden="false" customHeight="true" outlineLevel="0" collapsed="false">
      <c r="B241" s="40"/>
      <c r="C241" s="41" t="str">
        <f aca="false">IF(B241="","",TEXT(B241,"DDD"))</f>
        <v/>
      </c>
      <c r="D241" s="10"/>
      <c r="E241" s="10"/>
      <c r="F241" s="11"/>
      <c r="G241" s="18" t="str">
        <f aca="false">IF(D241="","",IFERROR(VLOOKUP(D241,'📦 INVENTORY'!B:J,9,0),""))</f>
        <v/>
      </c>
      <c r="H241" s="35" t="str">
        <f aca="false">IF(OR(F241="",G241=""),"",F241*G241)</f>
        <v/>
      </c>
      <c r="I241" s="41"/>
      <c r="J241" s="41"/>
    </row>
    <row r="242" customFormat="false" ht="18" hidden="false" customHeight="true" outlineLevel="0" collapsed="false">
      <c r="B242" s="42"/>
      <c r="C242" s="43" t="str">
        <f aca="false">IF(B242="","",TEXT(B242,"DDD"))</f>
        <v/>
      </c>
      <c r="D242" s="13"/>
      <c r="E242" s="13"/>
      <c r="F242" s="14"/>
      <c r="G242" s="17" t="str">
        <f aca="false">IF(D242="","",IFERROR(VLOOKUP(D242,'📦 INVENTORY'!B:J,9,0),""))</f>
        <v/>
      </c>
      <c r="H242" s="44" t="str">
        <f aca="false">IF(OR(F242="",G242=""),"",F242*G242)</f>
        <v/>
      </c>
      <c r="I242" s="43"/>
      <c r="J242" s="43"/>
    </row>
    <row r="243" customFormat="false" ht="18" hidden="false" customHeight="true" outlineLevel="0" collapsed="false">
      <c r="B243" s="40"/>
      <c r="C243" s="41" t="str">
        <f aca="false">IF(B243="","",TEXT(B243,"DDD"))</f>
        <v/>
      </c>
      <c r="D243" s="10"/>
      <c r="E243" s="10"/>
      <c r="F243" s="11"/>
      <c r="G243" s="18" t="str">
        <f aca="false">IF(D243="","",IFERROR(VLOOKUP(D243,'📦 INVENTORY'!B:J,9,0),""))</f>
        <v/>
      </c>
      <c r="H243" s="35" t="str">
        <f aca="false">IF(OR(F243="",G243=""),"",F243*G243)</f>
        <v/>
      </c>
      <c r="I243" s="41"/>
      <c r="J243" s="41"/>
    </row>
    <row r="244" customFormat="false" ht="18" hidden="false" customHeight="true" outlineLevel="0" collapsed="false">
      <c r="B244" s="42"/>
      <c r="C244" s="43" t="str">
        <f aca="false">IF(B244="","",TEXT(B244,"DDD"))</f>
        <v/>
      </c>
      <c r="D244" s="13"/>
      <c r="E244" s="13"/>
      <c r="F244" s="14"/>
      <c r="G244" s="17" t="str">
        <f aca="false">IF(D244="","",IFERROR(VLOOKUP(D244,'📦 INVENTORY'!B:J,9,0),""))</f>
        <v/>
      </c>
      <c r="H244" s="44" t="str">
        <f aca="false">IF(OR(F244="",G244=""),"",F244*G244)</f>
        <v/>
      </c>
      <c r="I244" s="43"/>
      <c r="J244" s="43"/>
    </row>
    <row r="245" customFormat="false" ht="18" hidden="false" customHeight="true" outlineLevel="0" collapsed="false">
      <c r="B245" s="40"/>
      <c r="C245" s="41" t="str">
        <f aca="false">IF(B245="","",TEXT(B245,"DDD"))</f>
        <v/>
      </c>
      <c r="D245" s="10"/>
      <c r="E245" s="10"/>
      <c r="F245" s="11"/>
      <c r="G245" s="18" t="str">
        <f aca="false">IF(D245="","",IFERROR(VLOOKUP(D245,'📦 INVENTORY'!B:J,9,0),""))</f>
        <v/>
      </c>
      <c r="H245" s="35" t="str">
        <f aca="false">IF(OR(F245="",G245=""),"",F245*G245)</f>
        <v/>
      </c>
      <c r="I245" s="41"/>
      <c r="J245" s="41"/>
    </row>
    <row r="246" customFormat="false" ht="18" hidden="false" customHeight="true" outlineLevel="0" collapsed="false">
      <c r="B246" s="42"/>
      <c r="C246" s="43" t="str">
        <f aca="false">IF(B246="","",TEXT(B246,"DDD"))</f>
        <v/>
      </c>
      <c r="D246" s="13"/>
      <c r="E246" s="13"/>
      <c r="F246" s="14"/>
      <c r="G246" s="17" t="str">
        <f aca="false">IF(D246="","",IFERROR(VLOOKUP(D246,'📦 INVENTORY'!B:J,9,0),""))</f>
        <v/>
      </c>
      <c r="H246" s="44" t="str">
        <f aca="false">IF(OR(F246="",G246=""),"",F246*G246)</f>
        <v/>
      </c>
      <c r="I246" s="43"/>
      <c r="J246" s="43"/>
    </row>
    <row r="247" customFormat="false" ht="18" hidden="false" customHeight="true" outlineLevel="0" collapsed="false">
      <c r="B247" s="40"/>
      <c r="C247" s="41" t="str">
        <f aca="false">IF(B247="","",TEXT(B247,"DDD"))</f>
        <v/>
      </c>
      <c r="D247" s="10"/>
      <c r="E247" s="10"/>
      <c r="F247" s="11"/>
      <c r="G247" s="18" t="str">
        <f aca="false">IF(D247="","",IFERROR(VLOOKUP(D247,'📦 INVENTORY'!B:J,9,0),""))</f>
        <v/>
      </c>
      <c r="H247" s="35" t="str">
        <f aca="false">IF(OR(F247="",G247=""),"",F247*G247)</f>
        <v/>
      </c>
      <c r="I247" s="41"/>
      <c r="J247" s="41"/>
    </row>
    <row r="248" customFormat="false" ht="18" hidden="false" customHeight="true" outlineLevel="0" collapsed="false">
      <c r="B248" s="42"/>
      <c r="C248" s="43" t="str">
        <f aca="false">IF(B248="","",TEXT(B248,"DDD"))</f>
        <v/>
      </c>
      <c r="D248" s="13"/>
      <c r="E248" s="13"/>
      <c r="F248" s="14"/>
      <c r="G248" s="17" t="str">
        <f aca="false">IF(D248="","",IFERROR(VLOOKUP(D248,'📦 INVENTORY'!B:J,9,0),""))</f>
        <v/>
      </c>
      <c r="H248" s="44" t="str">
        <f aca="false">IF(OR(F248="",G248=""),"",F248*G248)</f>
        <v/>
      </c>
      <c r="I248" s="43"/>
      <c r="J248" s="43"/>
    </row>
    <row r="249" customFormat="false" ht="18" hidden="false" customHeight="true" outlineLevel="0" collapsed="false">
      <c r="B249" s="40"/>
      <c r="C249" s="41" t="str">
        <f aca="false">IF(B249="","",TEXT(B249,"DDD"))</f>
        <v/>
      </c>
      <c r="D249" s="10"/>
      <c r="E249" s="10"/>
      <c r="F249" s="11"/>
      <c r="G249" s="18" t="str">
        <f aca="false">IF(D249="","",IFERROR(VLOOKUP(D249,'📦 INVENTORY'!B:J,9,0),""))</f>
        <v/>
      </c>
      <c r="H249" s="35" t="str">
        <f aca="false">IF(OR(F249="",G249=""),"",F249*G249)</f>
        <v/>
      </c>
      <c r="I249" s="41"/>
      <c r="J249" s="41"/>
    </row>
    <row r="250" customFormat="false" ht="18" hidden="false" customHeight="true" outlineLevel="0" collapsed="false">
      <c r="B250" s="42"/>
      <c r="C250" s="43" t="str">
        <f aca="false">IF(B250="","",TEXT(B250,"DDD"))</f>
        <v/>
      </c>
      <c r="D250" s="13"/>
      <c r="E250" s="13"/>
      <c r="F250" s="14"/>
      <c r="G250" s="17" t="str">
        <f aca="false">IF(D250="","",IFERROR(VLOOKUP(D250,'📦 INVENTORY'!B:J,9,0),""))</f>
        <v/>
      </c>
      <c r="H250" s="44" t="str">
        <f aca="false">IF(OR(F250="",G250=""),"",F250*G250)</f>
        <v/>
      </c>
      <c r="I250" s="43"/>
      <c r="J250" s="43"/>
    </row>
    <row r="251" customFormat="false" ht="18" hidden="false" customHeight="true" outlineLevel="0" collapsed="false">
      <c r="B251" s="40"/>
      <c r="C251" s="41" t="str">
        <f aca="false">IF(B251="","",TEXT(B251,"DDD"))</f>
        <v/>
      </c>
      <c r="D251" s="10"/>
      <c r="E251" s="10"/>
      <c r="F251" s="11"/>
      <c r="G251" s="18" t="str">
        <f aca="false">IF(D251="","",IFERROR(VLOOKUP(D251,'📦 INVENTORY'!B:J,9,0),""))</f>
        <v/>
      </c>
      <c r="H251" s="35" t="str">
        <f aca="false">IF(OR(F251="",G251=""),"",F251*G251)</f>
        <v/>
      </c>
      <c r="I251" s="41"/>
      <c r="J251" s="41"/>
    </row>
    <row r="252" customFormat="false" ht="18" hidden="false" customHeight="true" outlineLevel="0" collapsed="false">
      <c r="B252" s="42"/>
      <c r="C252" s="43" t="str">
        <f aca="false">IF(B252="","",TEXT(B252,"DDD"))</f>
        <v/>
      </c>
      <c r="D252" s="13"/>
      <c r="E252" s="13"/>
      <c r="F252" s="14"/>
      <c r="G252" s="17" t="str">
        <f aca="false">IF(D252="","",IFERROR(VLOOKUP(D252,'📦 INVENTORY'!B:J,9,0),""))</f>
        <v/>
      </c>
      <c r="H252" s="44" t="str">
        <f aca="false">IF(OR(F252="",G252=""),"",F252*G252)</f>
        <v/>
      </c>
      <c r="I252" s="43"/>
      <c r="J252" s="43"/>
    </row>
    <row r="253" customFormat="false" ht="18" hidden="false" customHeight="true" outlineLevel="0" collapsed="false">
      <c r="B253" s="40"/>
      <c r="C253" s="41" t="str">
        <f aca="false">IF(B253="","",TEXT(B253,"DDD"))</f>
        <v/>
      </c>
      <c r="D253" s="10"/>
      <c r="E253" s="10"/>
      <c r="F253" s="11"/>
      <c r="G253" s="18" t="str">
        <f aca="false">IF(D253="","",IFERROR(VLOOKUP(D253,'📦 INVENTORY'!B:J,9,0),""))</f>
        <v/>
      </c>
      <c r="H253" s="35" t="str">
        <f aca="false">IF(OR(F253="",G253=""),"",F253*G253)</f>
        <v/>
      </c>
      <c r="I253" s="41"/>
      <c r="J253" s="41"/>
    </row>
    <row r="254" customFormat="false" ht="18" hidden="false" customHeight="true" outlineLevel="0" collapsed="false">
      <c r="B254" s="42"/>
      <c r="C254" s="43" t="str">
        <f aca="false">IF(B254="","",TEXT(B254,"DDD"))</f>
        <v/>
      </c>
      <c r="D254" s="13"/>
      <c r="E254" s="13"/>
      <c r="F254" s="14"/>
      <c r="G254" s="17" t="str">
        <f aca="false">IF(D254="","",IFERROR(VLOOKUP(D254,'📦 INVENTORY'!B:J,9,0),""))</f>
        <v/>
      </c>
      <c r="H254" s="44" t="str">
        <f aca="false">IF(OR(F254="",G254=""),"",F254*G254)</f>
        <v/>
      </c>
      <c r="I254" s="43"/>
      <c r="J254" s="43"/>
    </row>
    <row r="255" customFormat="false" ht="18" hidden="false" customHeight="true" outlineLevel="0" collapsed="false">
      <c r="B255" s="40"/>
      <c r="C255" s="41" t="str">
        <f aca="false">IF(B255="","",TEXT(B255,"DDD"))</f>
        <v/>
      </c>
      <c r="D255" s="10"/>
      <c r="E255" s="10"/>
      <c r="F255" s="11"/>
      <c r="G255" s="18" t="str">
        <f aca="false">IF(D255="","",IFERROR(VLOOKUP(D255,'📦 INVENTORY'!B:J,9,0),""))</f>
        <v/>
      </c>
      <c r="H255" s="35" t="str">
        <f aca="false">IF(OR(F255="",G255=""),"",F255*G255)</f>
        <v/>
      </c>
      <c r="I255" s="41"/>
      <c r="J255" s="41"/>
    </row>
    <row r="256" customFormat="false" ht="18" hidden="false" customHeight="true" outlineLevel="0" collapsed="false">
      <c r="B256" s="42"/>
      <c r="C256" s="43" t="str">
        <f aca="false">IF(B256="","",TEXT(B256,"DDD"))</f>
        <v/>
      </c>
      <c r="D256" s="13"/>
      <c r="E256" s="13"/>
      <c r="F256" s="14"/>
      <c r="G256" s="17" t="str">
        <f aca="false">IF(D256="","",IFERROR(VLOOKUP(D256,'📦 INVENTORY'!B:J,9,0),""))</f>
        <v/>
      </c>
      <c r="H256" s="44" t="str">
        <f aca="false">IF(OR(F256="",G256=""),"",F256*G256)</f>
        <v/>
      </c>
      <c r="I256" s="43"/>
      <c r="J256" s="43"/>
    </row>
    <row r="257" customFormat="false" ht="18" hidden="false" customHeight="true" outlineLevel="0" collapsed="false">
      <c r="B257" s="40"/>
      <c r="C257" s="41" t="str">
        <f aca="false">IF(B257="","",TEXT(B257,"DDD"))</f>
        <v/>
      </c>
      <c r="D257" s="10"/>
      <c r="E257" s="10"/>
      <c r="F257" s="11"/>
      <c r="G257" s="18" t="str">
        <f aca="false">IF(D257="","",IFERROR(VLOOKUP(D257,'📦 INVENTORY'!B:J,9,0),""))</f>
        <v/>
      </c>
      <c r="H257" s="35" t="str">
        <f aca="false">IF(OR(F257="",G257=""),"",F257*G257)</f>
        <v/>
      </c>
      <c r="I257" s="41"/>
      <c r="J257" s="41"/>
    </row>
    <row r="258" customFormat="false" ht="18" hidden="false" customHeight="true" outlineLevel="0" collapsed="false">
      <c r="B258" s="42"/>
      <c r="C258" s="43" t="str">
        <f aca="false">IF(B258="","",TEXT(B258,"DDD"))</f>
        <v/>
      </c>
      <c r="D258" s="13"/>
      <c r="E258" s="13"/>
      <c r="F258" s="14"/>
      <c r="G258" s="17" t="str">
        <f aca="false">IF(D258="","",IFERROR(VLOOKUP(D258,'📦 INVENTORY'!B:J,9,0),""))</f>
        <v/>
      </c>
      <c r="H258" s="44" t="str">
        <f aca="false">IF(OR(F258="",G258=""),"",F258*G258)</f>
        <v/>
      </c>
      <c r="I258" s="43"/>
      <c r="J258" s="43"/>
    </row>
    <row r="259" customFormat="false" ht="18" hidden="false" customHeight="true" outlineLevel="0" collapsed="false">
      <c r="B259" s="40"/>
      <c r="C259" s="41" t="str">
        <f aca="false">IF(B259="","",TEXT(B259,"DDD"))</f>
        <v/>
      </c>
      <c r="D259" s="10"/>
      <c r="E259" s="10"/>
      <c r="F259" s="11"/>
      <c r="G259" s="18" t="str">
        <f aca="false">IF(D259="","",IFERROR(VLOOKUP(D259,'📦 INVENTORY'!B:J,9,0),""))</f>
        <v/>
      </c>
      <c r="H259" s="35" t="str">
        <f aca="false">IF(OR(F259="",G259=""),"",F259*G259)</f>
        <v/>
      </c>
      <c r="I259" s="41"/>
      <c r="J259" s="41"/>
    </row>
    <row r="260" customFormat="false" ht="18" hidden="false" customHeight="true" outlineLevel="0" collapsed="false">
      <c r="B260" s="42"/>
      <c r="C260" s="43" t="str">
        <f aca="false">IF(B260="","",TEXT(B260,"DDD"))</f>
        <v/>
      </c>
      <c r="D260" s="13"/>
      <c r="E260" s="13"/>
      <c r="F260" s="14"/>
      <c r="G260" s="17" t="str">
        <f aca="false">IF(D260="","",IFERROR(VLOOKUP(D260,'📦 INVENTORY'!B:J,9,0),""))</f>
        <v/>
      </c>
      <c r="H260" s="44" t="str">
        <f aca="false">IF(OR(F260="",G260=""),"",F260*G260)</f>
        <v/>
      </c>
      <c r="I260" s="43"/>
      <c r="J260" s="43"/>
    </row>
    <row r="261" customFormat="false" ht="18" hidden="false" customHeight="true" outlineLevel="0" collapsed="false">
      <c r="B261" s="40"/>
      <c r="C261" s="41" t="str">
        <f aca="false">IF(B261="","",TEXT(B261,"DDD"))</f>
        <v/>
      </c>
      <c r="D261" s="10"/>
      <c r="E261" s="10"/>
      <c r="F261" s="11"/>
      <c r="G261" s="18" t="str">
        <f aca="false">IF(D261="","",IFERROR(VLOOKUP(D261,'📦 INVENTORY'!B:J,9,0),""))</f>
        <v/>
      </c>
      <c r="H261" s="35" t="str">
        <f aca="false">IF(OR(F261="",G261=""),"",F261*G261)</f>
        <v/>
      </c>
      <c r="I261" s="41"/>
      <c r="J261" s="41"/>
    </row>
    <row r="262" customFormat="false" ht="18" hidden="false" customHeight="true" outlineLevel="0" collapsed="false">
      <c r="B262" s="42"/>
      <c r="C262" s="43" t="str">
        <f aca="false">IF(B262="","",TEXT(B262,"DDD"))</f>
        <v/>
      </c>
      <c r="D262" s="13"/>
      <c r="E262" s="13"/>
      <c r="F262" s="14"/>
      <c r="G262" s="17" t="str">
        <f aca="false">IF(D262="","",IFERROR(VLOOKUP(D262,'📦 INVENTORY'!B:J,9,0),""))</f>
        <v/>
      </c>
      <c r="H262" s="44" t="str">
        <f aca="false">IF(OR(F262="",G262=""),"",F262*G262)</f>
        <v/>
      </c>
      <c r="I262" s="43"/>
      <c r="J262" s="43"/>
    </row>
    <row r="263" customFormat="false" ht="18" hidden="false" customHeight="true" outlineLevel="0" collapsed="false">
      <c r="B263" s="40"/>
      <c r="C263" s="41" t="str">
        <f aca="false">IF(B263="","",TEXT(B263,"DDD"))</f>
        <v/>
      </c>
      <c r="D263" s="10"/>
      <c r="E263" s="10"/>
      <c r="F263" s="11"/>
      <c r="G263" s="18" t="str">
        <f aca="false">IF(D263="","",IFERROR(VLOOKUP(D263,'📦 INVENTORY'!B:J,9,0),""))</f>
        <v/>
      </c>
      <c r="H263" s="35" t="str">
        <f aca="false">IF(OR(F263="",G263=""),"",F263*G263)</f>
        <v/>
      </c>
      <c r="I263" s="41"/>
      <c r="J263" s="41"/>
    </row>
    <row r="264" customFormat="false" ht="18" hidden="false" customHeight="true" outlineLevel="0" collapsed="false">
      <c r="B264" s="42"/>
      <c r="C264" s="43" t="str">
        <f aca="false">IF(B264="","",TEXT(B264,"DDD"))</f>
        <v/>
      </c>
      <c r="D264" s="13"/>
      <c r="E264" s="13"/>
      <c r="F264" s="14"/>
      <c r="G264" s="17" t="str">
        <f aca="false">IF(D264="","",IFERROR(VLOOKUP(D264,'📦 INVENTORY'!B:J,9,0),""))</f>
        <v/>
      </c>
      <c r="H264" s="44" t="str">
        <f aca="false">IF(OR(F264="",G264=""),"",F264*G264)</f>
        <v/>
      </c>
      <c r="I264" s="43"/>
      <c r="J264" s="43"/>
    </row>
    <row r="265" customFormat="false" ht="18" hidden="false" customHeight="true" outlineLevel="0" collapsed="false">
      <c r="B265" s="40"/>
      <c r="C265" s="41" t="str">
        <f aca="false">IF(B265="","",TEXT(B265,"DDD"))</f>
        <v/>
      </c>
      <c r="D265" s="10"/>
      <c r="E265" s="10"/>
      <c r="F265" s="11"/>
      <c r="G265" s="18" t="str">
        <f aca="false">IF(D265="","",IFERROR(VLOOKUP(D265,'📦 INVENTORY'!B:J,9,0),""))</f>
        <v/>
      </c>
      <c r="H265" s="35" t="str">
        <f aca="false">IF(OR(F265="",G265=""),"",F265*G265)</f>
        <v/>
      </c>
      <c r="I265" s="41"/>
      <c r="J265" s="41"/>
    </row>
    <row r="266" customFormat="false" ht="18" hidden="false" customHeight="true" outlineLevel="0" collapsed="false">
      <c r="B266" s="42"/>
      <c r="C266" s="43" t="str">
        <f aca="false">IF(B266="","",TEXT(B266,"DDD"))</f>
        <v/>
      </c>
      <c r="D266" s="13"/>
      <c r="E266" s="13"/>
      <c r="F266" s="14"/>
      <c r="G266" s="17" t="str">
        <f aca="false">IF(D266="","",IFERROR(VLOOKUP(D266,'📦 INVENTORY'!B:J,9,0),""))</f>
        <v/>
      </c>
      <c r="H266" s="44" t="str">
        <f aca="false">IF(OR(F266="",G266=""),"",F266*G266)</f>
        <v/>
      </c>
      <c r="I266" s="43"/>
      <c r="J266" s="43"/>
    </row>
    <row r="267" customFormat="false" ht="18" hidden="false" customHeight="true" outlineLevel="0" collapsed="false">
      <c r="B267" s="40"/>
      <c r="C267" s="41" t="str">
        <f aca="false">IF(B267="","",TEXT(B267,"DDD"))</f>
        <v/>
      </c>
      <c r="D267" s="10"/>
      <c r="E267" s="10"/>
      <c r="F267" s="11"/>
      <c r="G267" s="18" t="str">
        <f aca="false">IF(D267="","",IFERROR(VLOOKUP(D267,'📦 INVENTORY'!B:J,9,0),""))</f>
        <v/>
      </c>
      <c r="H267" s="35" t="str">
        <f aca="false">IF(OR(F267="",G267=""),"",F267*G267)</f>
        <v/>
      </c>
      <c r="I267" s="41"/>
      <c r="J267" s="41"/>
    </row>
    <row r="268" customFormat="false" ht="18" hidden="false" customHeight="true" outlineLevel="0" collapsed="false">
      <c r="B268" s="42"/>
      <c r="C268" s="43" t="str">
        <f aca="false">IF(B268="","",TEXT(B268,"DDD"))</f>
        <v/>
      </c>
      <c r="D268" s="13"/>
      <c r="E268" s="13"/>
      <c r="F268" s="14"/>
      <c r="G268" s="17" t="str">
        <f aca="false">IF(D268="","",IFERROR(VLOOKUP(D268,'📦 INVENTORY'!B:J,9,0),""))</f>
        <v/>
      </c>
      <c r="H268" s="44" t="str">
        <f aca="false">IF(OR(F268="",G268=""),"",F268*G268)</f>
        <v/>
      </c>
      <c r="I268" s="43"/>
      <c r="J268" s="43"/>
    </row>
    <row r="269" customFormat="false" ht="18" hidden="false" customHeight="true" outlineLevel="0" collapsed="false">
      <c r="B269" s="40"/>
      <c r="C269" s="41" t="str">
        <f aca="false">IF(B269="","",TEXT(B269,"DDD"))</f>
        <v/>
      </c>
      <c r="D269" s="10"/>
      <c r="E269" s="10"/>
      <c r="F269" s="11"/>
      <c r="G269" s="18" t="str">
        <f aca="false">IF(D269="","",IFERROR(VLOOKUP(D269,'📦 INVENTORY'!B:J,9,0),""))</f>
        <v/>
      </c>
      <c r="H269" s="35" t="str">
        <f aca="false">IF(OR(F269="",G269=""),"",F269*G269)</f>
        <v/>
      </c>
      <c r="I269" s="41"/>
      <c r="J269" s="41"/>
    </row>
    <row r="270" customFormat="false" ht="18" hidden="false" customHeight="true" outlineLevel="0" collapsed="false">
      <c r="B270" s="42"/>
      <c r="C270" s="43" t="str">
        <f aca="false">IF(B270="","",TEXT(B270,"DDD"))</f>
        <v/>
      </c>
      <c r="D270" s="13"/>
      <c r="E270" s="13"/>
      <c r="F270" s="14"/>
      <c r="G270" s="17" t="str">
        <f aca="false">IF(D270="","",IFERROR(VLOOKUP(D270,'📦 INVENTORY'!B:J,9,0),""))</f>
        <v/>
      </c>
      <c r="H270" s="44" t="str">
        <f aca="false">IF(OR(F270="",G270=""),"",F270*G270)</f>
        <v/>
      </c>
      <c r="I270" s="43"/>
      <c r="J270" s="43"/>
    </row>
    <row r="271" customFormat="false" ht="18" hidden="false" customHeight="true" outlineLevel="0" collapsed="false">
      <c r="B271" s="40"/>
      <c r="C271" s="41" t="str">
        <f aca="false">IF(B271="","",TEXT(B271,"DDD"))</f>
        <v/>
      </c>
      <c r="D271" s="10"/>
      <c r="E271" s="10"/>
      <c r="F271" s="11"/>
      <c r="G271" s="18" t="str">
        <f aca="false">IF(D271="","",IFERROR(VLOOKUP(D271,'📦 INVENTORY'!B:J,9,0),""))</f>
        <v/>
      </c>
      <c r="H271" s="35" t="str">
        <f aca="false">IF(OR(F271="",G271=""),"",F271*G271)</f>
        <v/>
      </c>
      <c r="I271" s="41"/>
      <c r="J271" s="41"/>
    </row>
    <row r="272" customFormat="false" ht="18" hidden="false" customHeight="true" outlineLevel="0" collapsed="false">
      <c r="B272" s="42"/>
      <c r="C272" s="43" t="str">
        <f aca="false">IF(B272="","",TEXT(B272,"DDD"))</f>
        <v/>
      </c>
      <c r="D272" s="13"/>
      <c r="E272" s="13"/>
      <c r="F272" s="14"/>
      <c r="G272" s="17" t="str">
        <f aca="false">IF(D272="","",IFERROR(VLOOKUP(D272,'📦 INVENTORY'!B:J,9,0),""))</f>
        <v/>
      </c>
      <c r="H272" s="44" t="str">
        <f aca="false">IF(OR(F272="",G272=""),"",F272*G272)</f>
        <v/>
      </c>
      <c r="I272" s="43"/>
      <c r="J272" s="43"/>
    </row>
    <row r="273" customFormat="false" ht="18" hidden="false" customHeight="true" outlineLevel="0" collapsed="false">
      <c r="B273" s="40"/>
      <c r="C273" s="41" t="str">
        <f aca="false">IF(B273="","",TEXT(B273,"DDD"))</f>
        <v/>
      </c>
      <c r="D273" s="10"/>
      <c r="E273" s="10"/>
      <c r="F273" s="11"/>
      <c r="G273" s="18" t="str">
        <f aca="false">IF(D273="","",IFERROR(VLOOKUP(D273,'📦 INVENTORY'!B:J,9,0),""))</f>
        <v/>
      </c>
      <c r="H273" s="35" t="str">
        <f aca="false">IF(OR(F273="",G273=""),"",F273*G273)</f>
        <v/>
      </c>
      <c r="I273" s="41"/>
      <c r="J273" s="41"/>
    </row>
    <row r="274" customFormat="false" ht="18" hidden="false" customHeight="true" outlineLevel="0" collapsed="false">
      <c r="B274" s="42"/>
      <c r="C274" s="43" t="str">
        <f aca="false">IF(B274="","",TEXT(B274,"DDD"))</f>
        <v/>
      </c>
      <c r="D274" s="13"/>
      <c r="E274" s="13"/>
      <c r="F274" s="14"/>
      <c r="G274" s="17" t="str">
        <f aca="false">IF(D274="","",IFERROR(VLOOKUP(D274,'📦 INVENTORY'!B:J,9,0),""))</f>
        <v/>
      </c>
      <c r="H274" s="44" t="str">
        <f aca="false">IF(OR(F274="",G274=""),"",F274*G274)</f>
        <v/>
      </c>
      <c r="I274" s="43"/>
      <c r="J274" s="43"/>
    </row>
    <row r="275" customFormat="false" ht="18" hidden="false" customHeight="true" outlineLevel="0" collapsed="false">
      <c r="B275" s="40"/>
      <c r="C275" s="41" t="str">
        <f aca="false">IF(B275="","",TEXT(B275,"DDD"))</f>
        <v/>
      </c>
      <c r="D275" s="10"/>
      <c r="E275" s="10"/>
      <c r="F275" s="11"/>
      <c r="G275" s="18" t="str">
        <f aca="false">IF(D275="","",IFERROR(VLOOKUP(D275,'📦 INVENTORY'!B:J,9,0),""))</f>
        <v/>
      </c>
      <c r="H275" s="35" t="str">
        <f aca="false">IF(OR(F275="",G275=""),"",F275*G275)</f>
        <v/>
      </c>
      <c r="I275" s="41"/>
      <c r="J275" s="41"/>
    </row>
    <row r="276" customFormat="false" ht="18" hidden="false" customHeight="true" outlineLevel="0" collapsed="false">
      <c r="B276" s="42"/>
      <c r="C276" s="43" t="str">
        <f aca="false">IF(B276="","",TEXT(B276,"DDD"))</f>
        <v/>
      </c>
      <c r="D276" s="13"/>
      <c r="E276" s="13"/>
      <c r="F276" s="14"/>
      <c r="G276" s="17" t="str">
        <f aca="false">IF(D276="","",IFERROR(VLOOKUP(D276,'📦 INVENTORY'!B:J,9,0),""))</f>
        <v/>
      </c>
      <c r="H276" s="44" t="str">
        <f aca="false">IF(OR(F276="",G276=""),"",F276*G276)</f>
        <v/>
      </c>
      <c r="I276" s="43"/>
      <c r="J276" s="43"/>
    </row>
    <row r="277" customFormat="false" ht="18" hidden="false" customHeight="true" outlineLevel="0" collapsed="false">
      <c r="B277" s="40"/>
      <c r="C277" s="41" t="str">
        <f aca="false">IF(B277="","",TEXT(B277,"DDD"))</f>
        <v/>
      </c>
      <c r="D277" s="10"/>
      <c r="E277" s="10"/>
      <c r="F277" s="11"/>
      <c r="G277" s="18" t="str">
        <f aca="false">IF(D277="","",IFERROR(VLOOKUP(D277,'📦 INVENTORY'!B:J,9,0),""))</f>
        <v/>
      </c>
      <c r="H277" s="35" t="str">
        <f aca="false">IF(OR(F277="",G277=""),"",F277*G277)</f>
        <v/>
      </c>
      <c r="I277" s="41"/>
      <c r="J277" s="41"/>
    </row>
    <row r="278" customFormat="false" ht="18" hidden="false" customHeight="true" outlineLevel="0" collapsed="false">
      <c r="B278" s="42"/>
      <c r="C278" s="43" t="str">
        <f aca="false">IF(B278="","",TEXT(B278,"DDD"))</f>
        <v/>
      </c>
      <c r="D278" s="13"/>
      <c r="E278" s="13"/>
      <c r="F278" s="14"/>
      <c r="G278" s="17" t="str">
        <f aca="false">IF(D278="","",IFERROR(VLOOKUP(D278,'📦 INVENTORY'!B:J,9,0),""))</f>
        <v/>
      </c>
      <c r="H278" s="44" t="str">
        <f aca="false">IF(OR(F278="",G278=""),"",F278*G278)</f>
        <v/>
      </c>
      <c r="I278" s="43"/>
      <c r="J278" s="43"/>
    </row>
    <row r="279" customFormat="false" ht="18" hidden="false" customHeight="true" outlineLevel="0" collapsed="false">
      <c r="B279" s="40"/>
      <c r="C279" s="41" t="str">
        <f aca="false">IF(B279="","",TEXT(B279,"DDD"))</f>
        <v/>
      </c>
      <c r="D279" s="10"/>
      <c r="E279" s="10"/>
      <c r="F279" s="11"/>
      <c r="G279" s="18" t="str">
        <f aca="false">IF(D279="","",IFERROR(VLOOKUP(D279,'📦 INVENTORY'!B:J,9,0),""))</f>
        <v/>
      </c>
      <c r="H279" s="35" t="str">
        <f aca="false">IF(OR(F279="",G279=""),"",F279*G279)</f>
        <v/>
      </c>
      <c r="I279" s="41"/>
      <c r="J279" s="41"/>
    </row>
    <row r="280" customFormat="false" ht="18" hidden="false" customHeight="true" outlineLevel="0" collapsed="false">
      <c r="B280" s="42"/>
      <c r="C280" s="43" t="str">
        <f aca="false">IF(B280="","",TEXT(B280,"DDD"))</f>
        <v/>
      </c>
      <c r="D280" s="13"/>
      <c r="E280" s="13"/>
      <c r="F280" s="14"/>
      <c r="G280" s="17" t="str">
        <f aca="false">IF(D280="","",IFERROR(VLOOKUP(D280,'📦 INVENTORY'!B:J,9,0),""))</f>
        <v/>
      </c>
      <c r="H280" s="44" t="str">
        <f aca="false">IF(OR(F280="",G280=""),"",F280*G280)</f>
        <v/>
      </c>
      <c r="I280" s="43"/>
      <c r="J280" s="43"/>
    </row>
    <row r="281" customFormat="false" ht="18" hidden="false" customHeight="true" outlineLevel="0" collapsed="false">
      <c r="B281" s="40"/>
      <c r="C281" s="41" t="str">
        <f aca="false">IF(B281="","",TEXT(B281,"DDD"))</f>
        <v/>
      </c>
      <c r="D281" s="10"/>
      <c r="E281" s="10"/>
      <c r="F281" s="11"/>
      <c r="G281" s="18" t="str">
        <f aca="false">IF(D281="","",IFERROR(VLOOKUP(D281,'📦 INVENTORY'!B:J,9,0),""))</f>
        <v/>
      </c>
      <c r="H281" s="35" t="str">
        <f aca="false">IF(OR(F281="",G281=""),"",F281*G281)</f>
        <v/>
      </c>
      <c r="I281" s="41"/>
      <c r="J281" s="41"/>
    </row>
    <row r="282" customFormat="false" ht="18" hidden="false" customHeight="true" outlineLevel="0" collapsed="false">
      <c r="B282" s="42"/>
      <c r="C282" s="43" t="str">
        <f aca="false">IF(B282="","",TEXT(B282,"DDD"))</f>
        <v/>
      </c>
      <c r="D282" s="13"/>
      <c r="E282" s="13"/>
      <c r="F282" s="14"/>
      <c r="G282" s="17" t="str">
        <f aca="false">IF(D282="","",IFERROR(VLOOKUP(D282,'📦 INVENTORY'!B:J,9,0),""))</f>
        <v/>
      </c>
      <c r="H282" s="44" t="str">
        <f aca="false">IF(OR(F282="",G282=""),"",F282*G282)</f>
        <v/>
      </c>
      <c r="I282" s="43"/>
      <c r="J282" s="43"/>
    </row>
    <row r="283" customFormat="false" ht="18" hidden="false" customHeight="true" outlineLevel="0" collapsed="false">
      <c r="B283" s="40"/>
      <c r="C283" s="41" t="str">
        <f aca="false">IF(B283="","",TEXT(B283,"DDD"))</f>
        <v/>
      </c>
      <c r="D283" s="10"/>
      <c r="E283" s="10"/>
      <c r="F283" s="11"/>
      <c r="G283" s="18" t="str">
        <f aca="false">IF(D283="","",IFERROR(VLOOKUP(D283,'📦 INVENTORY'!B:J,9,0),""))</f>
        <v/>
      </c>
      <c r="H283" s="35" t="str">
        <f aca="false">IF(OR(F283="",G283=""),"",F283*G283)</f>
        <v/>
      </c>
      <c r="I283" s="41"/>
      <c r="J283" s="41"/>
    </row>
    <row r="284" customFormat="false" ht="18" hidden="false" customHeight="true" outlineLevel="0" collapsed="false">
      <c r="B284" s="42"/>
      <c r="C284" s="43" t="str">
        <f aca="false">IF(B284="","",TEXT(B284,"DDD"))</f>
        <v/>
      </c>
      <c r="D284" s="13"/>
      <c r="E284" s="13"/>
      <c r="F284" s="14"/>
      <c r="G284" s="17" t="str">
        <f aca="false">IF(D284="","",IFERROR(VLOOKUP(D284,'📦 INVENTORY'!B:J,9,0),""))</f>
        <v/>
      </c>
      <c r="H284" s="44" t="str">
        <f aca="false">IF(OR(F284="",G284=""),"",F284*G284)</f>
        <v/>
      </c>
      <c r="I284" s="43"/>
      <c r="J284" s="43"/>
    </row>
    <row r="285" customFormat="false" ht="18" hidden="false" customHeight="true" outlineLevel="0" collapsed="false">
      <c r="B285" s="40"/>
      <c r="C285" s="41" t="str">
        <f aca="false">IF(B285="","",TEXT(B285,"DDD"))</f>
        <v/>
      </c>
      <c r="D285" s="10"/>
      <c r="E285" s="10"/>
      <c r="F285" s="11"/>
      <c r="G285" s="18" t="str">
        <f aca="false">IF(D285="","",IFERROR(VLOOKUP(D285,'📦 INVENTORY'!B:J,9,0),""))</f>
        <v/>
      </c>
      <c r="H285" s="35" t="str">
        <f aca="false">IF(OR(F285="",G285=""),"",F285*G285)</f>
        <v/>
      </c>
      <c r="I285" s="41"/>
      <c r="J285" s="41"/>
    </row>
    <row r="286" customFormat="false" ht="18" hidden="false" customHeight="true" outlineLevel="0" collapsed="false">
      <c r="B286" s="42"/>
      <c r="C286" s="43" t="str">
        <f aca="false">IF(B286="","",TEXT(B286,"DDD"))</f>
        <v/>
      </c>
      <c r="D286" s="13"/>
      <c r="E286" s="13"/>
      <c r="F286" s="14"/>
      <c r="G286" s="17" t="str">
        <f aca="false">IF(D286="","",IFERROR(VLOOKUP(D286,'📦 INVENTORY'!B:J,9,0),""))</f>
        <v/>
      </c>
      <c r="H286" s="44" t="str">
        <f aca="false">IF(OR(F286="",G286=""),"",F286*G286)</f>
        <v/>
      </c>
      <c r="I286" s="43"/>
      <c r="J286" s="43"/>
    </row>
    <row r="287" customFormat="false" ht="18" hidden="false" customHeight="true" outlineLevel="0" collapsed="false">
      <c r="B287" s="40"/>
      <c r="C287" s="41" t="str">
        <f aca="false">IF(B287="","",TEXT(B287,"DDD"))</f>
        <v/>
      </c>
      <c r="D287" s="10"/>
      <c r="E287" s="10"/>
      <c r="F287" s="11"/>
      <c r="G287" s="18" t="str">
        <f aca="false">IF(D287="","",IFERROR(VLOOKUP(D287,'📦 INVENTORY'!B:J,9,0),""))</f>
        <v/>
      </c>
      <c r="H287" s="35" t="str">
        <f aca="false">IF(OR(F287="",G287=""),"",F287*G287)</f>
        <v/>
      </c>
      <c r="I287" s="41"/>
      <c r="J287" s="41"/>
    </row>
    <row r="288" customFormat="false" ht="18" hidden="false" customHeight="true" outlineLevel="0" collapsed="false">
      <c r="B288" s="42"/>
      <c r="C288" s="43" t="str">
        <f aca="false">IF(B288="","",TEXT(B288,"DDD"))</f>
        <v/>
      </c>
      <c r="D288" s="13"/>
      <c r="E288" s="13"/>
      <c r="F288" s="14"/>
      <c r="G288" s="17" t="str">
        <f aca="false">IF(D288="","",IFERROR(VLOOKUP(D288,'📦 INVENTORY'!B:J,9,0),""))</f>
        <v/>
      </c>
      <c r="H288" s="44" t="str">
        <f aca="false">IF(OR(F288="",G288=""),"",F288*G288)</f>
        <v/>
      </c>
      <c r="I288" s="43"/>
      <c r="J288" s="43"/>
    </row>
    <row r="289" customFormat="false" ht="18" hidden="false" customHeight="true" outlineLevel="0" collapsed="false">
      <c r="B289" s="40"/>
      <c r="C289" s="41" t="str">
        <f aca="false">IF(B289="","",TEXT(B289,"DDD"))</f>
        <v/>
      </c>
      <c r="D289" s="10"/>
      <c r="E289" s="10"/>
      <c r="F289" s="11"/>
      <c r="G289" s="18" t="str">
        <f aca="false">IF(D289="","",IFERROR(VLOOKUP(D289,'📦 INVENTORY'!B:J,9,0),""))</f>
        <v/>
      </c>
      <c r="H289" s="35" t="str">
        <f aca="false">IF(OR(F289="",G289=""),"",F289*G289)</f>
        <v/>
      </c>
      <c r="I289" s="41"/>
      <c r="J289" s="41"/>
    </row>
    <row r="290" customFormat="false" ht="18" hidden="false" customHeight="true" outlineLevel="0" collapsed="false">
      <c r="B290" s="42"/>
      <c r="C290" s="43" t="str">
        <f aca="false">IF(B290="","",TEXT(B290,"DDD"))</f>
        <v/>
      </c>
      <c r="D290" s="13"/>
      <c r="E290" s="13"/>
      <c r="F290" s="14"/>
      <c r="G290" s="17" t="str">
        <f aca="false">IF(D290="","",IFERROR(VLOOKUP(D290,'📦 INVENTORY'!B:J,9,0),""))</f>
        <v/>
      </c>
      <c r="H290" s="44" t="str">
        <f aca="false">IF(OR(F290="",G290=""),"",F290*G290)</f>
        <v/>
      </c>
      <c r="I290" s="43"/>
      <c r="J290" s="43"/>
    </row>
    <row r="291" customFormat="false" ht="18" hidden="false" customHeight="true" outlineLevel="0" collapsed="false">
      <c r="B291" s="40"/>
      <c r="C291" s="41" t="str">
        <f aca="false">IF(B291="","",TEXT(B291,"DDD"))</f>
        <v/>
      </c>
      <c r="D291" s="10"/>
      <c r="E291" s="10"/>
      <c r="F291" s="11"/>
      <c r="G291" s="18" t="str">
        <f aca="false">IF(D291="","",IFERROR(VLOOKUP(D291,'📦 INVENTORY'!B:J,9,0),""))</f>
        <v/>
      </c>
      <c r="H291" s="35" t="str">
        <f aca="false">IF(OR(F291="",G291=""),"",F291*G291)</f>
        <v/>
      </c>
      <c r="I291" s="41"/>
      <c r="J291" s="41"/>
    </row>
    <row r="292" customFormat="false" ht="18" hidden="false" customHeight="true" outlineLevel="0" collapsed="false">
      <c r="B292" s="42"/>
      <c r="C292" s="43" t="str">
        <f aca="false">IF(B292="","",TEXT(B292,"DDD"))</f>
        <v/>
      </c>
      <c r="D292" s="13"/>
      <c r="E292" s="13"/>
      <c r="F292" s="14"/>
      <c r="G292" s="17" t="str">
        <f aca="false">IF(D292="","",IFERROR(VLOOKUP(D292,'📦 INVENTORY'!B:J,9,0),""))</f>
        <v/>
      </c>
      <c r="H292" s="44" t="str">
        <f aca="false">IF(OR(F292="",G292=""),"",F292*G292)</f>
        <v/>
      </c>
      <c r="I292" s="43"/>
      <c r="J292" s="43"/>
    </row>
    <row r="293" customFormat="false" ht="18" hidden="false" customHeight="true" outlineLevel="0" collapsed="false">
      <c r="B293" s="40"/>
      <c r="C293" s="41" t="str">
        <f aca="false">IF(B293="","",TEXT(B293,"DDD"))</f>
        <v/>
      </c>
      <c r="D293" s="10"/>
      <c r="E293" s="10"/>
      <c r="F293" s="11"/>
      <c r="G293" s="18" t="str">
        <f aca="false">IF(D293="","",IFERROR(VLOOKUP(D293,'📦 INVENTORY'!B:J,9,0),""))</f>
        <v/>
      </c>
      <c r="H293" s="35" t="str">
        <f aca="false">IF(OR(F293="",G293=""),"",F293*G293)</f>
        <v/>
      </c>
      <c r="I293" s="41"/>
      <c r="J293" s="41"/>
    </row>
    <row r="294" customFormat="false" ht="18" hidden="false" customHeight="true" outlineLevel="0" collapsed="false">
      <c r="B294" s="42"/>
      <c r="C294" s="43" t="str">
        <f aca="false">IF(B294="","",TEXT(B294,"DDD"))</f>
        <v/>
      </c>
      <c r="D294" s="13"/>
      <c r="E294" s="13"/>
      <c r="F294" s="14"/>
      <c r="G294" s="17" t="str">
        <f aca="false">IF(D294="","",IFERROR(VLOOKUP(D294,'📦 INVENTORY'!B:J,9,0),""))</f>
        <v/>
      </c>
      <c r="H294" s="44" t="str">
        <f aca="false">IF(OR(F294="",G294=""),"",F294*G294)</f>
        <v/>
      </c>
      <c r="I294" s="43"/>
      <c r="J294" s="43"/>
    </row>
    <row r="295" customFormat="false" ht="18" hidden="false" customHeight="true" outlineLevel="0" collapsed="false">
      <c r="B295" s="40"/>
      <c r="C295" s="41" t="str">
        <f aca="false">IF(B295="","",TEXT(B295,"DDD"))</f>
        <v/>
      </c>
      <c r="D295" s="10"/>
      <c r="E295" s="10"/>
      <c r="F295" s="11"/>
      <c r="G295" s="18" t="str">
        <f aca="false">IF(D295="","",IFERROR(VLOOKUP(D295,'📦 INVENTORY'!B:J,9,0),""))</f>
        <v/>
      </c>
      <c r="H295" s="35" t="str">
        <f aca="false">IF(OR(F295="",G295=""),"",F295*G295)</f>
        <v/>
      </c>
      <c r="I295" s="41"/>
      <c r="J295" s="41"/>
    </row>
    <row r="296" customFormat="false" ht="18" hidden="false" customHeight="true" outlineLevel="0" collapsed="false">
      <c r="B296" s="42"/>
      <c r="C296" s="43" t="str">
        <f aca="false">IF(B296="","",TEXT(B296,"DDD"))</f>
        <v/>
      </c>
      <c r="D296" s="13"/>
      <c r="E296" s="13"/>
      <c r="F296" s="14"/>
      <c r="G296" s="17" t="str">
        <f aca="false">IF(D296="","",IFERROR(VLOOKUP(D296,'📦 INVENTORY'!B:J,9,0),""))</f>
        <v/>
      </c>
      <c r="H296" s="44" t="str">
        <f aca="false">IF(OR(F296="",G296=""),"",F296*G296)</f>
        <v/>
      </c>
      <c r="I296" s="43"/>
      <c r="J296" s="43"/>
    </row>
    <row r="297" customFormat="false" ht="18" hidden="false" customHeight="true" outlineLevel="0" collapsed="false">
      <c r="B297" s="40"/>
      <c r="C297" s="41" t="str">
        <f aca="false">IF(B297="","",TEXT(B297,"DDD"))</f>
        <v/>
      </c>
      <c r="D297" s="10"/>
      <c r="E297" s="10"/>
      <c r="F297" s="11"/>
      <c r="G297" s="18" t="str">
        <f aca="false">IF(D297="","",IFERROR(VLOOKUP(D297,'📦 INVENTORY'!B:J,9,0),""))</f>
        <v/>
      </c>
      <c r="H297" s="35" t="str">
        <f aca="false">IF(OR(F297="",G297=""),"",F297*G297)</f>
        <v/>
      </c>
      <c r="I297" s="41"/>
      <c r="J297" s="41"/>
    </row>
    <row r="298" customFormat="false" ht="18" hidden="false" customHeight="true" outlineLevel="0" collapsed="false">
      <c r="B298" s="42"/>
      <c r="C298" s="43" t="str">
        <f aca="false">IF(B298="","",TEXT(B298,"DDD"))</f>
        <v/>
      </c>
      <c r="D298" s="13"/>
      <c r="E298" s="13"/>
      <c r="F298" s="14"/>
      <c r="G298" s="17" t="str">
        <f aca="false">IF(D298="","",IFERROR(VLOOKUP(D298,'📦 INVENTORY'!B:J,9,0),""))</f>
        <v/>
      </c>
      <c r="H298" s="44" t="str">
        <f aca="false">IF(OR(F298="",G298=""),"",F298*G298)</f>
        <v/>
      </c>
      <c r="I298" s="43"/>
      <c r="J298" s="43"/>
    </row>
    <row r="299" customFormat="false" ht="18" hidden="false" customHeight="true" outlineLevel="0" collapsed="false">
      <c r="B299" s="40"/>
      <c r="C299" s="41" t="str">
        <f aca="false">IF(B299="","",TEXT(B299,"DDD"))</f>
        <v/>
      </c>
      <c r="D299" s="10"/>
      <c r="E299" s="10"/>
      <c r="F299" s="11"/>
      <c r="G299" s="18" t="str">
        <f aca="false">IF(D299="","",IFERROR(VLOOKUP(D299,'📦 INVENTORY'!B:J,9,0),""))</f>
        <v/>
      </c>
      <c r="H299" s="35" t="str">
        <f aca="false">IF(OR(F299="",G299=""),"",F299*G299)</f>
        <v/>
      </c>
      <c r="I299" s="41"/>
      <c r="J299" s="41"/>
    </row>
    <row r="300" customFormat="false" ht="18" hidden="false" customHeight="true" outlineLevel="0" collapsed="false">
      <c r="B300" s="42"/>
      <c r="C300" s="43" t="str">
        <f aca="false">IF(B300="","",TEXT(B300,"DDD"))</f>
        <v/>
      </c>
      <c r="D300" s="13"/>
      <c r="E300" s="13"/>
      <c r="F300" s="14"/>
      <c r="G300" s="17" t="str">
        <f aca="false">IF(D300="","",IFERROR(VLOOKUP(D300,'📦 INVENTORY'!B:J,9,0),""))</f>
        <v/>
      </c>
      <c r="H300" s="44" t="str">
        <f aca="false">IF(OR(F300="",G300=""),"",F300*G300)</f>
        <v/>
      </c>
      <c r="I300" s="43"/>
      <c r="J300" s="43"/>
    </row>
    <row r="301" customFormat="false" ht="18" hidden="false" customHeight="true" outlineLevel="0" collapsed="false">
      <c r="B301" s="40"/>
      <c r="C301" s="41" t="str">
        <f aca="false">IF(B301="","",TEXT(B301,"DDD"))</f>
        <v/>
      </c>
      <c r="D301" s="10"/>
      <c r="E301" s="10"/>
      <c r="F301" s="11"/>
      <c r="G301" s="18" t="str">
        <f aca="false">IF(D301="","",IFERROR(VLOOKUP(D301,'📦 INVENTORY'!B:J,9,0),""))</f>
        <v/>
      </c>
      <c r="H301" s="35" t="str">
        <f aca="false">IF(OR(F301="",G301=""),"",F301*G301)</f>
        <v/>
      </c>
      <c r="I301" s="41"/>
      <c r="J301" s="41"/>
    </row>
    <row r="302" customFormat="false" ht="18" hidden="false" customHeight="true" outlineLevel="0" collapsed="false">
      <c r="B302" s="42"/>
      <c r="C302" s="43" t="str">
        <f aca="false">IF(B302="","",TEXT(B302,"DDD"))</f>
        <v/>
      </c>
      <c r="D302" s="13"/>
      <c r="E302" s="13"/>
      <c r="F302" s="14"/>
      <c r="G302" s="17" t="str">
        <f aca="false">IF(D302="","",IFERROR(VLOOKUP(D302,'📦 INVENTORY'!B:J,9,0),""))</f>
        <v/>
      </c>
      <c r="H302" s="44" t="str">
        <f aca="false">IF(OR(F302="",G302=""),"",F302*G302)</f>
        <v/>
      </c>
      <c r="I302" s="43"/>
      <c r="J302" s="43"/>
    </row>
    <row r="303" customFormat="false" ht="18" hidden="false" customHeight="true" outlineLevel="0" collapsed="false">
      <c r="B303" s="40"/>
      <c r="C303" s="41" t="str">
        <f aca="false">IF(B303="","",TEXT(B303,"DDD"))</f>
        <v/>
      </c>
      <c r="D303" s="10"/>
      <c r="E303" s="10"/>
      <c r="F303" s="11"/>
      <c r="G303" s="18" t="str">
        <f aca="false">IF(D303="","",IFERROR(VLOOKUP(D303,'📦 INVENTORY'!B:J,9,0),""))</f>
        <v/>
      </c>
      <c r="H303" s="35" t="str">
        <f aca="false">IF(OR(F303="",G303=""),"",F303*G303)</f>
        <v/>
      </c>
      <c r="I303" s="41"/>
      <c r="J303" s="41"/>
    </row>
    <row r="304" customFormat="false" ht="18" hidden="false" customHeight="true" outlineLevel="0" collapsed="false">
      <c r="B304" s="42"/>
      <c r="C304" s="43" t="str">
        <f aca="false">IF(B304="","",TEXT(B304,"DDD"))</f>
        <v/>
      </c>
      <c r="D304" s="13"/>
      <c r="E304" s="13"/>
      <c r="F304" s="14"/>
      <c r="G304" s="17" t="str">
        <f aca="false">IF(D304="","",IFERROR(VLOOKUP(D304,'📦 INVENTORY'!B:J,9,0),""))</f>
        <v/>
      </c>
      <c r="H304" s="44" t="str">
        <f aca="false">IF(OR(F304="",G304=""),"",F304*G304)</f>
        <v/>
      </c>
      <c r="I304" s="43"/>
      <c r="J304" s="43"/>
    </row>
    <row r="305" customFormat="false" ht="18" hidden="false" customHeight="true" outlineLevel="0" collapsed="false">
      <c r="B305" s="40"/>
      <c r="C305" s="41" t="str">
        <f aca="false">IF(B305="","",TEXT(B305,"DDD"))</f>
        <v/>
      </c>
      <c r="D305" s="10"/>
      <c r="E305" s="10"/>
      <c r="F305" s="11"/>
      <c r="G305" s="18" t="str">
        <f aca="false">IF(D305="","",IFERROR(VLOOKUP(D305,'📦 INVENTORY'!B:J,9,0),""))</f>
        <v/>
      </c>
      <c r="H305" s="35" t="str">
        <f aca="false">IF(OR(F305="",G305=""),"",F305*G305)</f>
        <v/>
      </c>
      <c r="I305" s="41"/>
      <c r="J305" s="41"/>
    </row>
    <row r="306" customFormat="false" ht="18" hidden="false" customHeight="true" outlineLevel="0" collapsed="false">
      <c r="B306" s="42"/>
      <c r="C306" s="43" t="str">
        <f aca="false">IF(B306="","",TEXT(B306,"DDD"))</f>
        <v/>
      </c>
      <c r="D306" s="13"/>
      <c r="E306" s="13"/>
      <c r="F306" s="14"/>
      <c r="G306" s="17" t="str">
        <f aca="false">IF(D306="","",IFERROR(VLOOKUP(D306,'📦 INVENTORY'!B:J,9,0),""))</f>
        <v/>
      </c>
      <c r="H306" s="44" t="str">
        <f aca="false">IF(OR(F306="",G306=""),"",F306*G306)</f>
        <v/>
      </c>
      <c r="I306" s="43"/>
      <c r="J306" s="43"/>
    </row>
    <row r="307" customFormat="false" ht="18" hidden="false" customHeight="true" outlineLevel="0" collapsed="false">
      <c r="B307" s="40"/>
      <c r="C307" s="41" t="str">
        <f aca="false">IF(B307="","",TEXT(B307,"DDD"))</f>
        <v/>
      </c>
      <c r="D307" s="10"/>
      <c r="E307" s="10"/>
      <c r="F307" s="11"/>
      <c r="G307" s="18" t="str">
        <f aca="false">IF(D307="","",IFERROR(VLOOKUP(D307,'📦 INVENTORY'!B:J,9,0),""))</f>
        <v/>
      </c>
      <c r="H307" s="35" t="str">
        <f aca="false">IF(OR(F307="",G307=""),"",F307*G307)</f>
        <v/>
      </c>
      <c r="I307" s="41"/>
      <c r="J307" s="41"/>
    </row>
    <row r="308" customFormat="false" ht="18" hidden="false" customHeight="true" outlineLevel="0" collapsed="false">
      <c r="B308" s="42"/>
      <c r="C308" s="43" t="str">
        <f aca="false">IF(B308="","",TEXT(B308,"DDD"))</f>
        <v/>
      </c>
      <c r="D308" s="13"/>
      <c r="E308" s="13"/>
      <c r="F308" s="14"/>
      <c r="G308" s="17" t="str">
        <f aca="false">IF(D308="","",IFERROR(VLOOKUP(D308,'📦 INVENTORY'!B:J,9,0),""))</f>
        <v/>
      </c>
      <c r="H308" s="44" t="str">
        <f aca="false">IF(OR(F308="",G308=""),"",F308*G308)</f>
        <v/>
      </c>
      <c r="I308" s="43"/>
      <c r="J308" s="43"/>
    </row>
    <row r="309" customFormat="false" ht="18" hidden="false" customHeight="true" outlineLevel="0" collapsed="false">
      <c r="B309" s="40"/>
      <c r="C309" s="41" t="str">
        <f aca="false">IF(B309="","",TEXT(B309,"DDD"))</f>
        <v/>
      </c>
      <c r="D309" s="10"/>
      <c r="E309" s="10"/>
      <c r="F309" s="11"/>
      <c r="G309" s="18" t="str">
        <f aca="false">IF(D309="","",IFERROR(VLOOKUP(D309,'📦 INVENTORY'!B:J,9,0),""))</f>
        <v/>
      </c>
      <c r="H309" s="35" t="str">
        <f aca="false">IF(OR(F309="",G309=""),"",F309*G309)</f>
        <v/>
      </c>
      <c r="I309" s="41"/>
      <c r="J309" s="41"/>
    </row>
    <row r="310" customFormat="false" ht="18" hidden="false" customHeight="true" outlineLevel="0" collapsed="false">
      <c r="B310" s="42"/>
      <c r="C310" s="43" t="str">
        <f aca="false">IF(B310="","",TEXT(B310,"DDD"))</f>
        <v/>
      </c>
      <c r="D310" s="13"/>
      <c r="E310" s="13"/>
      <c r="F310" s="14"/>
      <c r="G310" s="17" t="str">
        <f aca="false">IF(D310="","",IFERROR(VLOOKUP(D310,'📦 INVENTORY'!B:J,9,0),""))</f>
        <v/>
      </c>
      <c r="H310" s="44" t="str">
        <f aca="false">IF(OR(F310="",G310=""),"",F310*G310)</f>
        <v/>
      </c>
      <c r="I310" s="43"/>
      <c r="J310" s="43"/>
    </row>
    <row r="311" customFormat="false" ht="18" hidden="false" customHeight="true" outlineLevel="0" collapsed="false">
      <c r="B311" s="40"/>
      <c r="C311" s="41" t="str">
        <f aca="false">IF(B311="","",TEXT(B311,"DDD"))</f>
        <v/>
      </c>
      <c r="D311" s="10"/>
      <c r="E311" s="10"/>
      <c r="F311" s="11"/>
      <c r="G311" s="18" t="str">
        <f aca="false">IF(D311="","",IFERROR(VLOOKUP(D311,'📦 INVENTORY'!B:J,9,0),""))</f>
        <v/>
      </c>
      <c r="H311" s="35" t="str">
        <f aca="false">IF(OR(F311="",G311=""),"",F311*G311)</f>
        <v/>
      </c>
      <c r="I311" s="41"/>
      <c r="J311" s="41"/>
    </row>
    <row r="312" customFormat="false" ht="18" hidden="false" customHeight="true" outlineLevel="0" collapsed="false">
      <c r="B312" s="42"/>
      <c r="C312" s="43" t="str">
        <f aca="false">IF(B312="","",TEXT(B312,"DDD"))</f>
        <v/>
      </c>
      <c r="D312" s="13"/>
      <c r="E312" s="13"/>
      <c r="F312" s="14"/>
      <c r="G312" s="17" t="str">
        <f aca="false">IF(D312="","",IFERROR(VLOOKUP(D312,'📦 INVENTORY'!B:J,9,0),""))</f>
        <v/>
      </c>
      <c r="H312" s="44" t="str">
        <f aca="false">IF(OR(F312="",G312=""),"",F312*G312)</f>
        <v/>
      </c>
      <c r="I312" s="43"/>
      <c r="J312" s="43"/>
    </row>
    <row r="313" customFormat="false" ht="18" hidden="false" customHeight="true" outlineLevel="0" collapsed="false">
      <c r="B313" s="40"/>
      <c r="C313" s="41" t="str">
        <f aca="false">IF(B313="","",TEXT(B313,"DDD"))</f>
        <v/>
      </c>
      <c r="D313" s="10"/>
      <c r="E313" s="10"/>
      <c r="F313" s="11"/>
      <c r="G313" s="18" t="str">
        <f aca="false">IF(D313="","",IFERROR(VLOOKUP(D313,'📦 INVENTORY'!B:J,9,0),""))</f>
        <v/>
      </c>
      <c r="H313" s="35" t="str">
        <f aca="false">IF(OR(F313="",G313=""),"",F313*G313)</f>
        <v/>
      </c>
      <c r="I313" s="41"/>
      <c r="J313" s="41"/>
    </row>
    <row r="314" customFormat="false" ht="18" hidden="false" customHeight="true" outlineLevel="0" collapsed="false">
      <c r="B314" s="42"/>
      <c r="C314" s="43" t="str">
        <f aca="false">IF(B314="","",TEXT(B314,"DDD"))</f>
        <v/>
      </c>
      <c r="D314" s="13"/>
      <c r="E314" s="13"/>
      <c r="F314" s="14"/>
      <c r="G314" s="17" t="str">
        <f aca="false">IF(D314="","",IFERROR(VLOOKUP(D314,'📦 INVENTORY'!B:J,9,0),""))</f>
        <v/>
      </c>
      <c r="H314" s="44" t="str">
        <f aca="false">IF(OR(F314="",G314=""),"",F314*G314)</f>
        <v/>
      </c>
      <c r="I314" s="43"/>
      <c r="J314" s="43"/>
    </row>
    <row r="315" customFormat="false" ht="18" hidden="false" customHeight="true" outlineLevel="0" collapsed="false">
      <c r="B315" s="40"/>
      <c r="C315" s="41" t="str">
        <f aca="false">IF(B315="","",TEXT(B315,"DDD"))</f>
        <v/>
      </c>
      <c r="D315" s="10"/>
      <c r="E315" s="10"/>
      <c r="F315" s="11"/>
      <c r="G315" s="18" t="str">
        <f aca="false">IF(D315="","",IFERROR(VLOOKUP(D315,'📦 INVENTORY'!B:J,9,0),""))</f>
        <v/>
      </c>
      <c r="H315" s="35" t="str">
        <f aca="false">IF(OR(F315="",G315=""),"",F315*G315)</f>
        <v/>
      </c>
      <c r="I315" s="41"/>
      <c r="J315" s="41"/>
    </row>
    <row r="316" customFormat="false" ht="18" hidden="false" customHeight="true" outlineLevel="0" collapsed="false">
      <c r="B316" s="42"/>
      <c r="C316" s="43" t="str">
        <f aca="false">IF(B316="","",TEXT(B316,"DDD"))</f>
        <v/>
      </c>
      <c r="D316" s="13"/>
      <c r="E316" s="13"/>
      <c r="F316" s="14"/>
      <c r="G316" s="17" t="str">
        <f aca="false">IF(D316="","",IFERROR(VLOOKUP(D316,'📦 INVENTORY'!B:J,9,0),""))</f>
        <v/>
      </c>
      <c r="H316" s="44" t="str">
        <f aca="false">IF(OR(F316="",G316=""),"",F316*G316)</f>
        <v/>
      </c>
      <c r="I316" s="43"/>
      <c r="J316" s="43"/>
    </row>
    <row r="317" customFormat="false" ht="18" hidden="false" customHeight="true" outlineLevel="0" collapsed="false">
      <c r="B317" s="40"/>
      <c r="C317" s="41" t="str">
        <f aca="false">IF(B317="","",TEXT(B317,"DDD"))</f>
        <v/>
      </c>
      <c r="D317" s="10"/>
      <c r="E317" s="10"/>
      <c r="F317" s="11"/>
      <c r="G317" s="18" t="str">
        <f aca="false">IF(D317="","",IFERROR(VLOOKUP(D317,'📦 INVENTORY'!B:J,9,0),""))</f>
        <v/>
      </c>
      <c r="H317" s="35" t="str">
        <f aca="false">IF(OR(F317="",G317=""),"",F317*G317)</f>
        <v/>
      </c>
      <c r="I317" s="41"/>
      <c r="J317" s="41"/>
    </row>
    <row r="318" customFormat="false" ht="18" hidden="false" customHeight="true" outlineLevel="0" collapsed="false">
      <c r="B318" s="42"/>
      <c r="C318" s="43" t="str">
        <f aca="false">IF(B318="","",TEXT(B318,"DDD"))</f>
        <v/>
      </c>
      <c r="D318" s="13"/>
      <c r="E318" s="13"/>
      <c r="F318" s="14"/>
      <c r="G318" s="17" t="str">
        <f aca="false">IF(D318="","",IFERROR(VLOOKUP(D318,'📦 INVENTORY'!B:J,9,0),""))</f>
        <v/>
      </c>
      <c r="H318" s="44" t="str">
        <f aca="false">IF(OR(F318="",G318=""),"",F318*G318)</f>
        <v/>
      </c>
      <c r="I318" s="43"/>
      <c r="J318" s="43"/>
    </row>
    <row r="319" customFormat="false" ht="18" hidden="false" customHeight="true" outlineLevel="0" collapsed="false">
      <c r="B319" s="40"/>
      <c r="C319" s="41" t="str">
        <f aca="false">IF(B319="","",TEXT(B319,"DDD"))</f>
        <v/>
      </c>
      <c r="D319" s="10"/>
      <c r="E319" s="10"/>
      <c r="F319" s="11"/>
      <c r="G319" s="18" t="str">
        <f aca="false">IF(D319="","",IFERROR(VLOOKUP(D319,'📦 INVENTORY'!B:J,9,0),""))</f>
        <v/>
      </c>
      <c r="H319" s="35" t="str">
        <f aca="false">IF(OR(F319="",G319=""),"",F319*G319)</f>
        <v/>
      </c>
      <c r="I319" s="41"/>
      <c r="J319" s="41"/>
    </row>
    <row r="320" customFormat="false" ht="18" hidden="false" customHeight="true" outlineLevel="0" collapsed="false">
      <c r="B320" s="42"/>
      <c r="C320" s="43" t="str">
        <f aca="false">IF(B320="","",TEXT(B320,"DDD"))</f>
        <v/>
      </c>
      <c r="D320" s="13"/>
      <c r="E320" s="13"/>
      <c r="F320" s="14"/>
      <c r="G320" s="17" t="str">
        <f aca="false">IF(D320="","",IFERROR(VLOOKUP(D320,'📦 INVENTORY'!B:J,9,0),""))</f>
        <v/>
      </c>
      <c r="H320" s="44" t="str">
        <f aca="false">IF(OR(F320="",G320=""),"",F320*G320)</f>
        <v/>
      </c>
      <c r="I320" s="43"/>
      <c r="J320" s="43"/>
    </row>
    <row r="321" customFormat="false" ht="18" hidden="false" customHeight="true" outlineLevel="0" collapsed="false">
      <c r="B321" s="40"/>
      <c r="C321" s="41" t="str">
        <f aca="false">IF(B321="","",TEXT(B321,"DDD"))</f>
        <v/>
      </c>
      <c r="D321" s="10"/>
      <c r="E321" s="10"/>
      <c r="F321" s="11"/>
      <c r="G321" s="18" t="str">
        <f aca="false">IF(D321="","",IFERROR(VLOOKUP(D321,'📦 INVENTORY'!B:J,9,0),""))</f>
        <v/>
      </c>
      <c r="H321" s="35" t="str">
        <f aca="false">IF(OR(F321="",G321=""),"",F321*G321)</f>
        <v/>
      </c>
      <c r="I321" s="41"/>
      <c r="J321" s="41"/>
    </row>
    <row r="322" customFormat="false" ht="18" hidden="false" customHeight="true" outlineLevel="0" collapsed="false">
      <c r="B322" s="42"/>
      <c r="C322" s="43" t="str">
        <f aca="false">IF(B322="","",TEXT(B322,"DDD"))</f>
        <v/>
      </c>
      <c r="D322" s="13"/>
      <c r="E322" s="13"/>
      <c r="F322" s="14"/>
      <c r="G322" s="17" t="str">
        <f aca="false">IF(D322="","",IFERROR(VLOOKUP(D322,'📦 INVENTORY'!B:J,9,0),""))</f>
        <v/>
      </c>
      <c r="H322" s="44" t="str">
        <f aca="false">IF(OR(F322="",G322=""),"",F322*G322)</f>
        <v/>
      </c>
      <c r="I322" s="43"/>
      <c r="J322" s="43"/>
    </row>
    <row r="323" customFormat="false" ht="18" hidden="false" customHeight="true" outlineLevel="0" collapsed="false">
      <c r="B323" s="40"/>
      <c r="C323" s="41" t="str">
        <f aca="false">IF(B323="","",TEXT(B323,"DDD"))</f>
        <v/>
      </c>
      <c r="D323" s="10"/>
      <c r="E323" s="10"/>
      <c r="F323" s="11"/>
      <c r="G323" s="18" t="str">
        <f aca="false">IF(D323="","",IFERROR(VLOOKUP(D323,'📦 INVENTORY'!B:J,9,0),""))</f>
        <v/>
      </c>
      <c r="H323" s="35" t="str">
        <f aca="false">IF(OR(F323="",G323=""),"",F323*G323)</f>
        <v/>
      </c>
      <c r="I323" s="41"/>
      <c r="J323" s="41"/>
    </row>
    <row r="324" customFormat="false" ht="18" hidden="false" customHeight="true" outlineLevel="0" collapsed="false">
      <c r="B324" s="42"/>
      <c r="C324" s="43" t="str">
        <f aca="false">IF(B324="","",TEXT(B324,"DDD"))</f>
        <v/>
      </c>
      <c r="D324" s="13"/>
      <c r="E324" s="13"/>
      <c r="F324" s="14"/>
      <c r="G324" s="17" t="str">
        <f aca="false">IF(D324="","",IFERROR(VLOOKUP(D324,'📦 INVENTORY'!B:J,9,0),""))</f>
        <v/>
      </c>
      <c r="H324" s="44" t="str">
        <f aca="false">IF(OR(F324="",G324=""),"",F324*G324)</f>
        <v/>
      </c>
      <c r="I324" s="43"/>
      <c r="J324" s="43"/>
    </row>
    <row r="325" customFormat="false" ht="18" hidden="false" customHeight="true" outlineLevel="0" collapsed="false">
      <c r="B325" s="40"/>
      <c r="C325" s="41" t="str">
        <f aca="false">IF(B325="","",TEXT(B325,"DDD"))</f>
        <v/>
      </c>
      <c r="D325" s="10"/>
      <c r="E325" s="10"/>
      <c r="F325" s="11"/>
      <c r="G325" s="18" t="str">
        <f aca="false">IF(D325="","",IFERROR(VLOOKUP(D325,'📦 INVENTORY'!B:J,9,0),""))</f>
        <v/>
      </c>
      <c r="H325" s="35" t="str">
        <f aca="false">IF(OR(F325="",G325=""),"",F325*G325)</f>
        <v/>
      </c>
      <c r="I325" s="41"/>
      <c r="J325" s="41"/>
    </row>
    <row r="326" customFormat="false" ht="18" hidden="false" customHeight="true" outlineLevel="0" collapsed="false">
      <c r="B326" s="42"/>
      <c r="C326" s="43" t="str">
        <f aca="false">IF(B326="","",TEXT(B326,"DDD"))</f>
        <v/>
      </c>
      <c r="D326" s="13"/>
      <c r="E326" s="13"/>
      <c r="F326" s="14"/>
      <c r="G326" s="17" t="str">
        <f aca="false">IF(D326="","",IFERROR(VLOOKUP(D326,'📦 INVENTORY'!B:J,9,0),""))</f>
        <v/>
      </c>
      <c r="H326" s="44" t="str">
        <f aca="false">IF(OR(F326="",G326=""),"",F326*G326)</f>
        <v/>
      </c>
      <c r="I326" s="43"/>
      <c r="J326" s="43"/>
    </row>
    <row r="327" customFormat="false" ht="18" hidden="false" customHeight="true" outlineLevel="0" collapsed="false">
      <c r="B327" s="40"/>
      <c r="C327" s="41" t="str">
        <f aca="false">IF(B327="","",TEXT(B327,"DDD"))</f>
        <v/>
      </c>
      <c r="D327" s="10"/>
      <c r="E327" s="10"/>
      <c r="F327" s="11"/>
      <c r="G327" s="18" t="str">
        <f aca="false">IF(D327="","",IFERROR(VLOOKUP(D327,'📦 INVENTORY'!B:J,9,0),""))</f>
        <v/>
      </c>
      <c r="H327" s="35" t="str">
        <f aca="false">IF(OR(F327="",G327=""),"",F327*G327)</f>
        <v/>
      </c>
      <c r="I327" s="41"/>
      <c r="J327" s="41"/>
    </row>
    <row r="328" customFormat="false" ht="18" hidden="false" customHeight="true" outlineLevel="0" collapsed="false">
      <c r="B328" s="42"/>
      <c r="C328" s="43" t="str">
        <f aca="false">IF(B328="","",TEXT(B328,"DDD"))</f>
        <v/>
      </c>
      <c r="D328" s="13"/>
      <c r="E328" s="13"/>
      <c r="F328" s="14"/>
      <c r="G328" s="17" t="str">
        <f aca="false">IF(D328="","",IFERROR(VLOOKUP(D328,'📦 INVENTORY'!B:J,9,0),""))</f>
        <v/>
      </c>
      <c r="H328" s="44" t="str">
        <f aca="false">IF(OR(F328="",G328=""),"",F328*G328)</f>
        <v/>
      </c>
      <c r="I328" s="43"/>
      <c r="J328" s="43"/>
    </row>
    <row r="329" customFormat="false" ht="18" hidden="false" customHeight="true" outlineLevel="0" collapsed="false">
      <c r="B329" s="40"/>
      <c r="C329" s="41" t="str">
        <f aca="false">IF(B329="","",TEXT(B329,"DDD"))</f>
        <v/>
      </c>
      <c r="D329" s="10"/>
      <c r="E329" s="10"/>
      <c r="F329" s="11"/>
      <c r="G329" s="18" t="str">
        <f aca="false">IF(D329="","",IFERROR(VLOOKUP(D329,'📦 INVENTORY'!B:J,9,0),""))</f>
        <v/>
      </c>
      <c r="H329" s="35" t="str">
        <f aca="false">IF(OR(F329="",G329=""),"",F329*G329)</f>
        <v/>
      </c>
      <c r="I329" s="41"/>
      <c r="J329" s="41"/>
    </row>
    <row r="330" customFormat="false" ht="18" hidden="false" customHeight="true" outlineLevel="0" collapsed="false">
      <c r="B330" s="42"/>
      <c r="C330" s="43" t="str">
        <f aca="false">IF(B330="","",TEXT(B330,"DDD"))</f>
        <v/>
      </c>
      <c r="D330" s="13"/>
      <c r="E330" s="13"/>
      <c r="F330" s="14"/>
      <c r="G330" s="17" t="str">
        <f aca="false">IF(D330="","",IFERROR(VLOOKUP(D330,'📦 INVENTORY'!B:J,9,0),""))</f>
        <v/>
      </c>
      <c r="H330" s="44" t="str">
        <f aca="false">IF(OR(F330="",G330=""),"",F330*G330)</f>
        <v/>
      </c>
      <c r="I330" s="43"/>
      <c r="J330" s="43"/>
    </row>
    <row r="331" customFormat="false" ht="18" hidden="false" customHeight="true" outlineLevel="0" collapsed="false">
      <c r="B331" s="40"/>
      <c r="C331" s="41" t="str">
        <f aca="false">IF(B331="","",TEXT(B331,"DDD"))</f>
        <v/>
      </c>
      <c r="D331" s="10"/>
      <c r="E331" s="10"/>
      <c r="F331" s="11"/>
      <c r="G331" s="18" t="str">
        <f aca="false">IF(D331="","",IFERROR(VLOOKUP(D331,'📦 INVENTORY'!B:J,9,0),""))</f>
        <v/>
      </c>
      <c r="H331" s="35" t="str">
        <f aca="false">IF(OR(F331="",G331=""),"",F331*G331)</f>
        <v/>
      </c>
      <c r="I331" s="41"/>
      <c r="J331" s="41"/>
    </row>
    <row r="332" customFormat="false" ht="18" hidden="false" customHeight="true" outlineLevel="0" collapsed="false">
      <c r="B332" s="42"/>
      <c r="C332" s="43" t="str">
        <f aca="false">IF(B332="","",TEXT(B332,"DDD"))</f>
        <v/>
      </c>
      <c r="D332" s="13"/>
      <c r="E332" s="13"/>
      <c r="F332" s="14"/>
      <c r="G332" s="17" t="str">
        <f aca="false">IF(D332="","",IFERROR(VLOOKUP(D332,'📦 INVENTORY'!B:J,9,0),""))</f>
        <v/>
      </c>
      <c r="H332" s="44" t="str">
        <f aca="false">IF(OR(F332="",G332=""),"",F332*G332)</f>
        <v/>
      </c>
      <c r="I332" s="43"/>
      <c r="J332" s="43"/>
    </row>
    <row r="333" customFormat="false" ht="18" hidden="false" customHeight="true" outlineLevel="0" collapsed="false">
      <c r="B333" s="40"/>
      <c r="C333" s="41" t="str">
        <f aca="false">IF(B333="","",TEXT(B333,"DDD"))</f>
        <v/>
      </c>
      <c r="D333" s="10"/>
      <c r="E333" s="10"/>
      <c r="F333" s="11"/>
      <c r="G333" s="18" t="str">
        <f aca="false">IF(D333="","",IFERROR(VLOOKUP(D333,'📦 INVENTORY'!B:J,9,0),""))</f>
        <v/>
      </c>
      <c r="H333" s="35" t="str">
        <f aca="false">IF(OR(F333="",G333=""),"",F333*G333)</f>
        <v/>
      </c>
      <c r="I333" s="41"/>
      <c r="J333" s="41"/>
    </row>
    <row r="334" customFormat="false" ht="18" hidden="false" customHeight="true" outlineLevel="0" collapsed="false">
      <c r="B334" s="42"/>
      <c r="C334" s="43" t="str">
        <f aca="false">IF(B334="","",TEXT(B334,"DDD"))</f>
        <v/>
      </c>
      <c r="D334" s="13"/>
      <c r="E334" s="13"/>
      <c r="F334" s="14"/>
      <c r="G334" s="17" t="str">
        <f aca="false">IF(D334="","",IFERROR(VLOOKUP(D334,'📦 INVENTORY'!B:J,9,0),""))</f>
        <v/>
      </c>
      <c r="H334" s="44" t="str">
        <f aca="false">IF(OR(F334="",G334=""),"",F334*G334)</f>
        <v/>
      </c>
      <c r="I334" s="43"/>
      <c r="J334" s="43"/>
    </row>
    <row r="335" customFormat="false" ht="18" hidden="false" customHeight="true" outlineLevel="0" collapsed="false">
      <c r="B335" s="40"/>
      <c r="C335" s="41" t="str">
        <f aca="false">IF(B335="","",TEXT(B335,"DDD"))</f>
        <v/>
      </c>
      <c r="D335" s="10"/>
      <c r="E335" s="10"/>
      <c r="F335" s="11"/>
      <c r="G335" s="18" t="str">
        <f aca="false">IF(D335="","",IFERROR(VLOOKUP(D335,'📦 INVENTORY'!B:J,9,0),""))</f>
        <v/>
      </c>
      <c r="H335" s="35" t="str">
        <f aca="false">IF(OR(F335="",G335=""),"",F335*G335)</f>
        <v/>
      </c>
      <c r="I335" s="41"/>
      <c r="J335" s="41"/>
    </row>
    <row r="336" customFormat="false" ht="18" hidden="false" customHeight="true" outlineLevel="0" collapsed="false">
      <c r="B336" s="42"/>
      <c r="C336" s="43" t="str">
        <f aca="false">IF(B336="","",TEXT(B336,"DDD"))</f>
        <v/>
      </c>
      <c r="D336" s="13"/>
      <c r="E336" s="13"/>
      <c r="F336" s="14"/>
      <c r="G336" s="17" t="str">
        <f aca="false">IF(D336="","",IFERROR(VLOOKUP(D336,'📦 INVENTORY'!B:J,9,0),""))</f>
        <v/>
      </c>
      <c r="H336" s="44" t="str">
        <f aca="false">IF(OR(F336="",G336=""),"",F336*G336)</f>
        <v/>
      </c>
      <c r="I336" s="43"/>
      <c r="J336" s="43"/>
    </row>
    <row r="337" customFormat="false" ht="18" hidden="false" customHeight="true" outlineLevel="0" collapsed="false">
      <c r="B337" s="40"/>
      <c r="C337" s="41" t="str">
        <f aca="false">IF(B337="","",TEXT(B337,"DDD"))</f>
        <v/>
      </c>
      <c r="D337" s="10"/>
      <c r="E337" s="10"/>
      <c r="F337" s="11"/>
      <c r="G337" s="18" t="str">
        <f aca="false">IF(D337="","",IFERROR(VLOOKUP(D337,'📦 INVENTORY'!B:J,9,0),""))</f>
        <v/>
      </c>
      <c r="H337" s="35" t="str">
        <f aca="false">IF(OR(F337="",G337=""),"",F337*G337)</f>
        <v/>
      </c>
      <c r="I337" s="41"/>
      <c r="J337" s="41"/>
    </row>
    <row r="338" customFormat="false" ht="18" hidden="false" customHeight="true" outlineLevel="0" collapsed="false">
      <c r="B338" s="42"/>
      <c r="C338" s="43" t="str">
        <f aca="false">IF(B338="","",TEXT(B338,"DDD"))</f>
        <v/>
      </c>
      <c r="D338" s="13"/>
      <c r="E338" s="13"/>
      <c r="F338" s="14"/>
      <c r="G338" s="17" t="str">
        <f aca="false">IF(D338="","",IFERROR(VLOOKUP(D338,'📦 INVENTORY'!B:J,9,0),""))</f>
        <v/>
      </c>
      <c r="H338" s="44" t="str">
        <f aca="false">IF(OR(F338="",G338=""),"",F338*G338)</f>
        <v/>
      </c>
      <c r="I338" s="43"/>
      <c r="J338" s="43"/>
    </row>
    <row r="339" customFormat="false" ht="18" hidden="false" customHeight="true" outlineLevel="0" collapsed="false">
      <c r="B339" s="40"/>
      <c r="C339" s="41" t="str">
        <f aca="false">IF(B339="","",TEXT(B339,"DDD"))</f>
        <v/>
      </c>
      <c r="D339" s="10"/>
      <c r="E339" s="10"/>
      <c r="F339" s="11"/>
      <c r="G339" s="18" t="str">
        <f aca="false">IF(D339="","",IFERROR(VLOOKUP(D339,'📦 INVENTORY'!B:J,9,0),""))</f>
        <v/>
      </c>
      <c r="H339" s="35" t="str">
        <f aca="false">IF(OR(F339="",G339=""),"",F339*G339)</f>
        <v/>
      </c>
      <c r="I339" s="41"/>
      <c r="J339" s="41"/>
    </row>
    <row r="340" customFormat="false" ht="18" hidden="false" customHeight="true" outlineLevel="0" collapsed="false">
      <c r="B340" s="42"/>
      <c r="C340" s="43" t="str">
        <f aca="false">IF(B340="","",TEXT(B340,"DDD"))</f>
        <v/>
      </c>
      <c r="D340" s="13"/>
      <c r="E340" s="13"/>
      <c r="F340" s="14"/>
      <c r="G340" s="17" t="str">
        <f aca="false">IF(D340="","",IFERROR(VLOOKUP(D340,'📦 INVENTORY'!B:J,9,0),""))</f>
        <v/>
      </c>
      <c r="H340" s="44" t="str">
        <f aca="false">IF(OR(F340="",G340=""),"",F340*G340)</f>
        <v/>
      </c>
      <c r="I340" s="43"/>
      <c r="J340" s="43"/>
    </row>
    <row r="341" customFormat="false" ht="18" hidden="false" customHeight="true" outlineLevel="0" collapsed="false">
      <c r="B341" s="40"/>
      <c r="C341" s="41" t="str">
        <f aca="false">IF(B341="","",TEXT(B341,"DDD"))</f>
        <v/>
      </c>
      <c r="D341" s="10"/>
      <c r="E341" s="10"/>
      <c r="F341" s="11"/>
      <c r="G341" s="18" t="str">
        <f aca="false">IF(D341="","",IFERROR(VLOOKUP(D341,'📦 INVENTORY'!B:J,9,0),""))</f>
        <v/>
      </c>
      <c r="H341" s="35" t="str">
        <f aca="false">IF(OR(F341="",G341=""),"",F341*G341)</f>
        <v/>
      </c>
      <c r="I341" s="41"/>
      <c r="J341" s="41"/>
    </row>
    <row r="342" customFormat="false" ht="18" hidden="false" customHeight="true" outlineLevel="0" collapsed="false">
      <c r="B342" s="42"/>
      <c r="C342" s="43" t="str">
        <f aca="false">IF(B342="","",TEXT(B342,"DDD"))</f>
        <v/>
      </c>
      <c r="D342" s="13"/>
      <c r="E342" s="13"/>
      <c r="F342" s="14"/>
      <c r="G342" s="17" t="str">
        <f aca="false">IF(D342="","",IFERROR(VLOOKUP(D342,'📦 INVENTORY'!B:J,9,0),""))</f>
        <v/>
      </c>
      <c r="H342" s="44" t="str">
        <f aca="false">IF(OR(F342="",G342=""),"",F342*G342)</f>
        <v/>
      </c>
      <c r="I342" s="43"/>
      <c r="J342" s="43"/>
    </row>
    <row r="343" customFormat="false" ht="18" hidden="false" customHeight="true" outlineLevel="0" collapsed="false">
      <c r="B343" s="40"/>
      <c r="C343" s="41" t="str">
        <f aca="false">IF(B343="","",TEXT(B343,"DDD"))</f>
        <v/>
      </c>
      <c r="D343" s="10"/>
      <c r="E343" s="10"/>
      <c r="F343" s="11"/>
      <c r="G343" s="18" t="str">
        <f aca="false">IF(D343="","",IFERROR(VLOOKUP(D343,'📦 INVENTORY'!B:J,9,0),""))</f>
        <v/>
      </c>
      <c r="H343" s="35" t="str">
        <f aca="false">IF(OR(F343="",G343=""),"",F343*G343)</f>
        <v/>
      </c>
      <c r="I343" s="41"/>
      <c r="J343" s="41"/>
    </row>
    <row r="344" customFormat="false" ht="18" hidden="false" customHeight="true" outlineLevel="0" collapsed="false">
      <c r="B344" s="42"/>
      <c r="C344" s="43" t="str">
        <f aca="false">IF(B344="","",TEXT(B344,"DDD"))</f>
        <v/>
      </c>
      <c r="D344" s="13"/>
      <c r="E344" s="13"/>
      <c r="F344" s="14"/>
      <c r="G344" s="17" t="str">
        <f aca="false">IF(D344="","",IFERROR(VLOOKUP(D344,'📦 INVENTORY'!B:J,9,0),""))</f>
        <v/>
      </c>
      <c r="H344" s="44" t="str">
        <f aca="false">IF(OR(F344="",G344=""),"",F344*G344)</f>
        <v/>
      </c>
      <c r="I344" s="43"/>
      <c r="J344" s="43"/>
    </row>
    <row r="345" customFormat="false" ht="18" hidden="false" customHeight="true" outlineLevel="0" collapsed="false">
      <c r="B345" s="40"/>
      <c r="C345" s="41" t="str">
        <f aca="false">IF(B345="","",TEXT(B345,"DDD"))</f>
        <v/>
      </c>
      <c r="D345" s="10"/>
      <c r="E345" s="10"/>
      <c r="F345" s="11"/>
      <c r="G345" s="18" t="str">
        <f aca="false">IF(D345="","",IFERROR(VLOOKUP(D345,'📦 INVENTORY'!B:J,9,0),""))</f>
        <v/>
      </c>
      <c r="H345" s="35" t="str">
        <f aca="false">IF(OR(F345="",G345=""),"",F345*G345)</f>
        <v/>
      </c>
      <c r="I345" s="41"/>
      <c r="J345" s="41"/>
    </row>
    <row r="346" customFormat="false" ht="18" hidden="false" customHeight="true" outlineLevel="0" collapsed="false">
      <c r="B346" s="42"/>
      <c r="C346" s="43" t="str">
        <f aca="false">IF(B346="","",TEXT(B346,"DDD"))</f>
        <v/>
      </c>
      <c r="D346" s="13"/>
      <c r="E346" s="13"/>
      <c r="F346" s="14"/>
      <c r="G346" s="17" t="str">
        <f aca="false">IF(D346="","",IFERROR(VLOOKUP(D346,'📦 INVENTORY'!B:J,9,0),""))</f>
        <v/>
      </c>
      <c r="H346" s="44" t="str">
        <f aca="false">IF(OR(F346="",G346=""),"",F346*G346)</f>
        <v/>
      </c>
      <c r="I346" s="43"/>
      <c r="J346" s="43"/>
    </row>
    <row r="347" customFormat="false" ht="18" hidden="false" customHeight="true" outlineLevel="0" collapsed="false">
      <c r="B347" s="40"/>
      <c r="C347" s="41" t="str">
        <f aca="false">IF(B347="","",TEXT(B347,"DDD"))</f>
        <v/>
      </c>
      <c r="D347" s="10"/>
      <c r="E347" s="10"/>
      <c r="F347" s="11"/>
      <c r="G347" s="18" t="str">
        <f aca="false">IF(D347="","",IFERROR(VLOOKUP(D347,'📦 INVENTORY'!B:J,9,0),""))</f>
        <v/>
      </c>
      <c r="H347" s="35" t="str">
        <f aca="false">IF(OR(F347="",G347=""),"",F347*G347)</f>
        <v/>
      </c>
      <c r="I347" s="41"/>
      <c r="J347" s="41"/>
    </row>
    <row r="348" customFormat="false" ht="18" hidden="false" customHeight="true" outlineLevel="0" collapsed="false">
      <c r="B348" s="42"/>
      <c r="C348" s="43" t="str">
        <f aca="false">IF(B348="","",TEXT(B348,"DDD"))</f>
        <v/>
      </c>
      <c r="D348" s="13"/>
      <c r="E348" s="13"/>
      <c r="F348" s="14"/>
      <c r="G348" s="17" t="str">
        <f aca="false">IF(D348="","",IFERROR(VLOOKUP(D348,'📦 INVENTORY'!B:J,9,0),""))</f>
        <v/>
      </c>
      <c r="H348" s="44" t="str">
        <f aca="false">IF(OR(F348="",G348=""),"",F348*G348)</f>
        <v/>
      </c>
      <c r="I348" s="43"/>
      <c r="J348" s="43"/>
    </row>
    <row r="349" customFormat="false" ht="18" hidden="false" customHeight="true" outlineLevel="0" collapsed="false">
      <c r="B349" s="40"/>
      <c r="C349" s="41" t="str">
        <f aca="false">IF(B349="","",TEXT(B349,"DDD"))</f>
        <v/>
      </c>
      <c r="D349" s="10"/>
      <c r="E349" s="10"/>
      <c r="F349" s="11"/>
      <c r="G349" s="18" t="str">
        <f aca="false">IF(D349="","",IFERROR(VLOOKUP(D349,'📦 INVENTORY'!B:J,9,0),""))</f>
        <v/>
      </c>
      <c r="H349" s="35" t="str">
        <f aca="false">IF(OR(F349="",G349=""),"",F349*G349)</f>
        <v/>
      </c>
      <c r="I349" s="41"/>
      <c r="J349" s="41"/>
    </row>
    <row r="350" customFormat="false" ht="18" hidden="false" customHeight="true" outlineLevel="0" collapsed="false">
      <c r="B350" s="42"/>
      <c r="C350" s="43" t="str">
        <f aca="false">IF(B350="","",TEXT(B350,"DDD"))</f>
        <v/>
      </c>
      <c r="D350" s="13"/>
      <c r="E350" s="13"/>
      <c r="F350" s="14"/>
      <c r="G350" s="17" t="str">
        <f aca="false">IF(D350="","",IFERROR(VLOOKUP(D350,'📦 INVENTORY'!B:J,9,0),""))</f>
        <v/>
      </c>
      <c r="H350" s="44" t="str">
        <f aca="false">IF(OR(F350="",G350=""),"",F350*G350)</f>
        <v/>
      </c>
      <c r="I350" s="43"/>
      <c r="J350" s="43"/>
    </row>
    <row r="351" customFormat="false" ht="18" hidden="false" customHeight="true" outlineLevel="0" collapsed="false">
      <c r="B351" s="40"/>
      <c r="C351" s="41" t="str">
        <f aca="false">IF(B351="","",TEXT(B351,"DDD"))</f>
        <v/>
      </c>
      <c r="D351" s="10"/>
      <c r="E351" s="10"/>
      <c r="F351" s="11"/>
      <c r="G351" s="18" t="str">
        <f aca="false">IF(D351="","",IFERROR(VLOOKUP(D351,'📦 INVENTORY'!B:J,9,0),""))</f>
        <v/>
      </c>
      <c r="H351" s="35" t="str">
        <f aca="false">IF(OR(F351="",G351=""),"",F351*G351)</f>
        <v/>
      </c>
      <c r="I351" s="41"/>
      <c r="J351" s="41"/>
    </row>
    <row r="352" customFormat="false" ht="18" hidden="false" customHeight="true" outlineLevel="0" collapsed="false">
      <c r="B352" s="42"/>
      <c r="C352" s="43" t="str">
        <f aca="false">IF(B352="","",TEXT(B352,"DDD"))</f>
        <v/>
      </c>
      <c r="D352" s="13"/>
      <c r="E352" s="13"/>
      <c r="F352" s="14"/>
      <c r="G352" s="17" t="str">
        <f aca="false">IF(D352="","",IFERROR(VLOOKUP(D352,'📦 INVENTORY'!B:J,9,0),""))</f>
        <v/>
      </c>
      <c r="H352" s="44" t="str">
        <f aca="false">IF(OR(F352="",G352=""),"",F352*G352)</f>
        <v/>
      </c>
      <c r="I352" s="43"/>
      <c r="J352" s="43"/>
    </row>
    <row r="353" customFormat="false" ht="18" hidden="false" customHeight="true" outlineLevel="0" collapsed="false">
      <c r="B353" s="40"/>
      <c r="C353" s="41" t="str">
        <f aca="false">IF(B353="","",TEXT(B353,"DDD"))</f>
        <v/>
      </c>
      <c r="D353" s="10"/>
      <c r="E353" s="10"/>
      <c r="F353" s="11"/>
      <c r="G353" s="18" t="str">
        <f aca="false">IF(D353="","",IFERROR(VLOOKUP(D353,'📦 INVENTORY'!B:J,9,0),""))</f>
        <v/>
      </c>
      <c r="H353" s="35" t="str">
        <f aca="false">IF(OR(F353="",G353=""),"",F353*G353)</f>
        <v/>
      </c>
      <c r="I353" s="41"/>
      <c r="J353" s="41"/>
    </row>
    <row r="354" customFormat="false" ht="18" hidden="false" customHeight="true" outlineLevel="0" collapsed="false">
      <c r="B354" s="42"/>
      <c r="C354" s="43" t="str">
        <f aca="false">IF(B354="","",TEXT(B354,"DDD"))</f>
        <v/>
      </c>
      <c r="D354" s="13"/>
      <c r="E354" s="13"/>
      <c r="F354" s="14"/>
      <c r="G354" s="17" t="str">
        <f aca="false">IF(D354="","",IFERROR(VLOOKUP(D354,'📦 INVENTORY'!B:J,9,0),""))</f>
        <v/>
      </c>
      <c r="H354" s="44" t="str">
        <f aca="false">IF(OR(F354="",G354=""),"",F354*G354)</f>
        <v/>
      </c>
      <c r="I354" s="43"/>
      <c r="J354" s="43"/>
    </row>
    <row r="355" customFormat="false" ht="18" hidden="false" customHeight="true" outlineLevel="0" collapsed="false">
      <c r="B355" s="40"/>
      <c r="C355" s="41" t="str">
        <f aca="false">IF(B355="","",TEXT(B355,"DDD"))</f>
        <v/>
      </c>
      <c r="D355" s="10"/>
      <c r="E355" s="10"/>
      <c r="F355" s="11"/>
      <c r="G355" s="18" t="str">
        <f aca="false">IF(D355="","",IFERROR(VLOOKUP(D355,'📦 INVENTORY'!B:J,9,0),""))</f>
        <v/>
      </c>
      <c r="H355" s="35" t="str">
        <f aca="false">IF(OR(F355="",G355=""),"",F355*G355)</f>
        <v/>
      </c>
      <c r="I355" s="41"/>
      <c r="J355" s="41"/>
    </row>
    <row r="356" customFormat="false" ht="18" hidden="false" customHeight="true" outlineLevel="0" collapsed="false">
      <c r="B356" s="42"/>
      <c r="C356" s="43" t="str">
        <f aca="false">IF(B356="","",TEXT(B356,"DDD"))</f>
        <v/>
      </c>
      <c r="D356" s="13"/>
      <c r="E356" s="13"/>
      <c r="F356" s="14"/>
      <c r="G356" s="17" t="str">
        <f aca="false">IF(D356="","",IFERROR(VLOOKUP(D356,'📦 INVENTORY'!B:J,9,0),""))</f>
        <v/>
      </c>
      <c r="H356" s="44" t="str">
        <f aca="false">IF(OR(F356="",G356=""),"",F356*G356)</f>
        <v/>
      </c>
      <c r="I356" s="43"/>
      <c r="J356" s="43"/>
    </row>
    <row r="357" customFormat="false" ht="18" hidden="false" customHeight="true" outlineLevel="0" collapsed="false">
      <c r="B357" s="40"/>
      <c r="C357" s="41" t="str">
        <f aca="false">IF(B357="","",TEXT(B357,"DDD"))</f>
        <v/>
      </c>
      <c r="D357" s="10"/>
      <c r="E357" s="10"/>
      <c r="F357" s="11"/>
      <c r="G357" s="18" t="str">
        <f aca="false">IF(D357="","",IFERROR(VLOOKUP(D357,'📦 INVENTORY'!B:J,9,0),""))</f>
        <v/>
      </c>
      <c r="H357" s="35" t="str">
        <f aca="false">IF(OR(F357="",G357=""),"",F357*G357)</f>
        <v/>
      </c>
      <c r="I357" s="41"/>
      <c r="J357" s="41"/>
    </row>
    <row r="358" customFormat="false" ht="18" hidden="false" customHeight="true" outlineLevel="0" collapsed="false">
      <c r="B358" s="42"/>
      <c r="C358" s="43" t="str">
        <f aca="false">IF(B358="","",TEXT(B358,"DDD"))</f>
        <v/>
      </c>
      <c r="D358" s="13"/>
      <c r="E358" s="13"/>
      <c r="F358" s="14"/>
      <c r="G358" s="17" t="str">
        <f aca="false">IF(D358="","",IFERROR(VLOOKUP(D358,'📦 INVENTORY'!B:J,9,0),""))</f>
        <v/>
      </c>
      <c r="H358" s="44" t="str">
        <f aca="false">IF(OR(F358="",G358=""),"",F358*G358)</f>
        <v/>
      </c>
      <c r="I358" s="43"/>
      <c r="J358" s="43"/>
    </row>
    <row r="359" customFormat="false" ht="18" hidden="false" customHeight="true" outlineLevel="0" collapsed="false">
      <c r="B359" s="40"/>
      <c r="C359" s="41" t="str">
        <f aca="false">IF(B359="","",TEXT(B359,"DDD"))</f>
        <v/>
      </c>
      <c r="D359" s="10"/>
      <c r="E359" s="10"/>
      <c r="F359" s="11"/>
      <c r="G359" s="18" t="str">
        <f aca="false">IF(D359="","",IFERROR(VLOOKUP(D359,'📦 INVENTORY'!B:J,9,0),""))</f>
        <v/>
      </c>
      <c r="H359" s="35" t="str">
        <f aca="false">IF(OR(F359="",G359=""),"",F359*G359)</f>
        <v/>
      </c>
      <c r="I359" s="41"/>
      <c r="J359" s="41"/>
    </row>
    <row r="360" customFormat="false" ht="18" hidden="false" customHeight="true" outlineLevel="0" collapsed="false">
      <c r="B360" s="42"/>
      <c r="C360" s="43" t="str">
        <f aca="false">IF(B360="","",TEXT(B360,"DDD"))</f>
        <v/>
      </c>
      <c r="D360" s="13"/>
      <c r="E360" s="13"/>
      <c r="F360" s="14"/>
      <c r="G360" s="17" t="str">
        <f aca="false">IF(D360="","",IFERROR(VLOOKUP(D360,'📦 INVENTORY'!B:J,9,0),""))</f>
        <v/>
      </c>
      <c r="H360" s="44" t="str">
        <f aca="false">IF(OR(F360="",G360=""),"",F360*G360)</f>
        <v/>
      </c>
      <c r="I360" s="43"/>
      <c r="J360" s="43"/>
    </row>
    <row r="361" customFormat="false" ht="18" hidden="false" customHeight="true" outlineLevel="0" collapsed="false">
      <c r="B361" s="40"/>
      <c r="C361" s="41" t="str">
        <f aca="false">IF(B361="","",TEXT(B361,"DDD"))</f>
        <v/>
      </c>
      <c r="D361" s="10"/>
      <c r="E361" s="10"/>
      <c r="F361" s="11"/>
      <c r="G361" s="18" t="str">
        <f aca="false">IF(D361="","",IFERROR(VLOOKUP(D361,'📦 INVENTORY'!B:J,9,0),""))</f>
        <v/>
      </c>
      <c r="H361" s="35" t="str">
        <f aca="false">IF(OR(F361="",G361=""),"",F361*G361)</f>
        <v/>
      </c>
      <c r="I361" s="41"/>
      <c r="J361" s="41"/>
    </row>
    <row r="362" customFormat="false" ht="18" hidden="false" customHeight="true" outlineLevel="0" collapsed="false">
      <c r="B362" s="42"/>
      <c r="C362" s="43" t="str">
        <f aca="false">IF(B362="","",TEXT(B362,"DDD"))</f>
        <v/>
      </c>
      <c r="D362" s="13"/>
      <c r="E362" s="13"/>
      <c r="F362" s="14"/>
      <c r="G362" s="17" t="str">
        <f aca="false">IF(D362="","",IFERROR(VLOOKUP(D362,'📦 INVENTORY'!B:J,9,0),""))</f>
        <v/>
      </c>
      <c r="H362" s="44" t="str">
        <f aca="false">IF(OR(F362="",G362=""),"",F362*G362)</f>
        <v/>
      </c>
      <c r="I362" s="43"/>
      <c r="J362" s="43"/>
    </row>
    <row r="363" customFormat="false" ht="18" hidden="false" customHeight="true" outlineLevel="0" collapsed="false">
      <c r="B363" s="40"/>
      <c r="C363" s="41" t="str">
        <f aca="false">IF(B363="","",TEXT(B363,"DDD"))</f>
        <v/>
      </c>
      <c r="D363" s="10"/>
      <c r="E363" s="10"/>
      <c r="F363" s="11"/>
      <c r="G363" s="18" t="str">
        <f aca="false">IF(D363="","",IFERROR(VLOOKUP(D363,'📦 INVENTORY'!B:J,9,0),""))</f>
        <v/>
      </c>
      <c r="H363" s="35" t="str">
        <f aca="false">IF(OR(F363="",G363=""),"",F363*G363)</f>
        <v/>
      </c>
      <c r="I363" s="41"/>
      <c r="J363" s="41"/>
    </row>
    <row r="364" customFormat="false" ht="18" hidden="false" customHeight="true" outlineLevel="0" collapsed="false">
      <c r="B364" s="42"/>
      <c r="C364" s="43" t="str">
        <f aca="false">IF(B364="","",TEXT(B364,"DDD"))</f>
        <v/>
      </c>
      <c r="D364" s="13"/>
      <c r="E364" s="13"/>
      <c r="F364" s="14"/>
      <c r="G364" s="17" t="str">
        <f aca="false">IF(D364="","",IFERROR(VLOOKUP(D364,'📦 INVENTORY'!B:J,9,0),""))</f>
        <v/>
      </c>
      <c r="H364" s="44" t="str">
        <f aca="false">IF(OR(F364="",G364=""),"",F364*G364)</f>
        <v/>
      </c>
      <c r="I364" s="43"/>
      <c r="J364" s="43"/>
    </row>
    <row r="365" customFormat="false" ht="18" hidden="false" customHeight="true" outlineLevel="0" collapsed="false">
      <c r="B365" s="40"/>
      <c r="C365" s="41" t="str">
        <f aca="false">IF(B365="","",TEXT(B365,"DDD"))</f>
        <v/>
      </c>
      <c r="D365" s="10"/>
      <c r="E365" s="10"/>
      <c r="F365" s="11"/>
      <c r="G365" s="18" t="str">
        <f aca="false">IF(D365="","",IFERROR(VLOOKUP(D365,'📦 INVENTORY'!B:J,9,0),""))</f>
        <v/>
      </c>
      <c r="H365" s="35" t="str">
        <f aca="false">IF(OR(F365="",G365=""),"",F365*G365)</f>
        <v/>
      </c>
      <c r="I365" s="41"/>
      <c r="J365" s="41"/>
    </row>
    <row r="366" customFormat="false" ht="18" hidden="false" customHeight="true" outlineLevel="0" collapsed="false">
      <c r="B366" s="42"/>
      <c r="C366" s="43" t="str">
        <f aca="false">IF(B366="","",TEXT(B366,"DDD"))</f>
        <v/>
      </c>
      <c r="D366" s="13"/>
      <c r="E366" s="13"/>
      <c r="F366" s="14"/>
      <c r="G366" s="17" t="str">
        <f aca="false">IF(D366="","",IFERROR(VLOOKUP(D366,'📦 INVENTORY'!B:J,9,0),""))</f>
        <v/>
      </c>
      <c r="H366" s="44" t="str">
        <f aca="false">IF(OR(F366="",G366=""),"",F366*G366)</f>
        <v/>
      </c>
      <c r="I366" s="43"/>
      <c r="J366" s="43"/>
    </row>
    <row r="367" customFormat="false" ht="18" hidden="false" customHeight="true" outlineLevel="0" collapsed="false">
      <c r="B367" s="40"/>
      <c r="C367" s="41" t="str">
        <f aca="false">IF(B367="","",TEXT(B367,"DDD"))</f>
        <v/>
      </c>
      <c r="D367" s="10"/>
      <c r="E367" s="10"/>
      <c r="F367" s="11"/>
      <c r="G367" s="18" t="str">
        <f aca="false">IF(D367="","",IFERROR(VLOOKUP(D367,'📦 INVENTORY'!B:J,9,0),""))</f>
        <v/>
      </c>
      <c r="H367" s="35" t="str">
        <f aca="false">IF(OR(F367="",G367=""),"",F367*G367)</f>
        <v/>
      </c>
      <c r="I367" s="41"/>
      <c r="J367" s="41"/>
    </row>
    <row r="368" customFormat="false" ht="18" hidden="false" customHeight="true" outlineLevel="0" collapsed="false">
      <c r="B368" s="42"/>
      <c r="C368" s="43" t="str">
        <f aca="false">IF(B368="","",TEXT(B368,"DDD"))</f>
        <v/>
      </c>
      <c r="D368" s="13"/>
      <c r="E368" s="13"/>
      <c r="F368" s="14"/>
      <c r="G368" s="17" t="str">
        <f aca="false">IF(D368="","",IFERROR(VLOOKUP(D368,'📦 INVENTORY'!B:J,9,0),""))</f>
        <v/>
      </c>
      <c r="H368" s="44" t="str">
        <f aca="false">IF(OR(F368="",G368=""),"",F368*G368)</f>
        <v/>
      </c>
      <c r="I368" s="43"/>
      <c r="J368" s="43"/>
    </row>
    <row r="369" customFormat="false" ht="18" hidden="false" customHeight="true" outlineLevel="0" collapsed="false">
      <c r="B369" s="40"/>
      <c r="C369" s="41" t="str">
        <f aca="false">IF(B369="","",TEXT(B369,"DDD"))</f>
        <v/>
      </c>
      <c r="D369" s="10"/>
      <c r="E369" s="10"/>
      <c r="F369" s="11"/>
      <c r="G369" s="18" t="str">
        <f aca="false">IF(D369="","",IFERROR(VLOOKUP(D369,'📦 INVENTORY'!B:J,9,0),""))</f>
        <v/>
      </c>
      <c r="H369" s="35" t="str">
        <f aca="false">IF(OR(F369="",G369=""),"",F369*G369)</f>
        <v/>
      </c>
      <c r="I369" s="41"/>
      <c r="J369" s="41"/>
    </row>
    <row r="370" customFormat="false" ht="18" hidden="false" customHeight="true" outlineLevel="0" collapsed="false">
      <c r="B370" s="42"/>
      <c r="C370" s="43" t="str">
        <f aca="false">IF(B370="","",TEXT(B370,"DDD"))</f>
        <v/>
      </c>
      <c r="D370" s="13"/>
      <c r="E370" s="13"/>
      <c r="F370" s="14"/>
      <c r="G370" s="17" t="str">
        <f aca="false">IF(D370="","",IFERROR(VLOOKUP(D370,'📦 INVENTORY'!B:J,9,0),""))</f>
        <v/>
      </c>
      <c r="H370" s="44" t="str">
        <f aca="false">IF(OR(F370="",G370=""),"",F370*G370)</f>
        <v/>
      </c>
      <c r="I370" s="43"/>
      <c r="J370" s="43"/>
    </row>
    <row r="371" customFormat="false" ht="18" hidden="false" customHeight="true" outlineLevel="0" collapsed="false">
      <c r="B371" s="40"/>
      <c r="C371" s="41" t="str">
        <f aca="false">IF(B371="","",TEXT(B371,"DDD"))</f>
        <v/>
      </c>
      <c r="D371" s="10"/>
      <c r="E371" s="10"/>
      <c r="F371" s="11"/>
      <c r="G371" s="18" t="str">
        <f aca="false">IF(D371="","",IFERROR(VLOOKUP(D371,'📦 INVENTORY'!B:J,9,0),""))</f>
        <v/>
      </c>
      <c r="H371" s="35" t="str">
        <f aca="false">IF(OR(F371="",G371=""),"",F371*G371)</f>
        <v/>
      </c>
      <c r="I371" s="41"/>
      <c r="J371" s="41"/>
    </row>
    <row r="372" customFormat="false" ht="18" hidden="false" customHeight="true" outlineLevel="0" collapsed="false">
      <c r="B372" s="42"/>
      <c r="C372" s="43" t="str">
        <f aca="false">IF(B372="","",TEXT(B372,"DDD"))</f>
        <v/>
      </c>
      <c r="D372" s="13"/>
      <c r="E372" s="13"/>
      <c r="F372" s="14"/>
      <c r="G372" s="17" t="str">
        <f aca="false">IF(D372="","",IFERROR(VLOOKUP(D372,'📦 INVENTORY'!B:J,9,0),""))</f>
        <v/>
      </c>
      <c r="H372" s="44" t="str">
        <f aca="false">IF(OR(F372="",G372=""),"",F372*G372)</f>
        <v/>
      </c>
      <c r="I372" s="43"/>
      <c r="J372" s="43"/>
    </row>
    <row r="373" customFormat="false" ht="18" hidden="false" customHeight="true" outlineLevel="0" collapsed="false">
      <c r="B373" s="40"/>
      <c r="C373" s="41" t="str">
        <f aca="false">IF(B373="","",TEXT(B373,"DDD"))</f>
        <v/>
      </c>
      <c r="D373" s="10"/>
      <c r="E373" s="10"/>
      <c r="F373" s="11"/>
      <c r="G373" s="18" t="str">
        <f aca="false">IF(D373="","",IFERROR(VLOOKUP(D373,'📦 INVENTORY'!B:J,9,0),""))</f>
        <v/>
      </c>
      <c r="H373" s="35" t="str">
        <f aca="false">IF(OR(F373="",G373=""),"",F373*G373)</f>
        <v/>
      </c>
      <c r="I373" s="41"/>
      <c r="J373" s="41"/>
    </row>
    <row r="374" customFormat="false" ht="18" hidden="false" customHeight="true" outlineLevel="0" collapsed="false">
      <c r="B374" s="42"/>
      <c r="C374" s="43" t="str">
        <f aca="false">IF(B374="","",TEXT(B374,"DDD"))</f>
        <v/>
      </c>
      <c r="D374" s="13"/>
      <c r="E374" s="13"/>
      <c r="F374" s="14"/>
      <c r="G374" s="17" t="str">
        <f aca="false">IF(D374="","",IFERROR(VLOOKUP(D374,'📦 INVENTORY'!B:J,9,0),""))</f>
        <v/>
      </c>
      <c r="H374" s="44" t="str">
        <f aca="false">IF(OR(F374="",G374=""),"",F374*G374)</f>
        <v/>
      </c>
      <c r="I374" s="43"/>
      <c r="J374" s="43"/>
    </row>
    <row r="375" customFormat="false" ht="18" hidden="false" customHeight="true" outlineLevel="0" collapsed="false">
      <c r="B375" s="40"/>
      <c r="C375" s="41" t="str">
        <f aca="false">IF(B375="","",TEXT(B375,"DDD"))</f>
        <v/>
      </c>
      <c r="D375" s="10"/>
      <c r="E375" s="10"/>
      <c r="F375" s="11"/>
      <c r="G375" s="18" t="str">
        <f aca="false">IF(D375="","",IFERROR(VLOOKUP(D375,'📦 INVENTORY'!B:J,9,0),""))</f>
        <v/>
      </c>
      <c r="H375" s="35" t="str">
        <f aca="false">IF(OR(F375="",G375=""),"",F375*G375)</f>
        <v/>
      </c>
      <c r="I375" s="41"/>
      <c r="J375" s="41"/>
    </row>
    <row r="376" customFormat="false" ht="18" hidden="false" customHeight="true" outlineLevel="0" collapsed="false">
      <c r="B376" s="42"/>
      <c r="C376" s="43" t="str">
        <f aca="false">IF(B376="","",TEXT(B376,"DDD"))</f>
        <v/>
      </c>
      <c r="D376" s="13"/>
      <c r="E376" s="13"/>
      <c r="F376" s="14"/>
      <c r="G376" s="17" t="str">
        <f aca="false">IF(D376="","",IFERROR(VLOOKUP(D376,'📦 INVENTORY'!B:J,9,0),""))</f>
        <v/>
      </c>
      <c r="H376" s="44" t="str">
        <f aca="false">IF(OR(F376="",G376=""),"",F376*G376)</f>
        <v/>
      </c>
      <c r="I376" s="43"/>
      <c r="J376" s="43"/>
    </row>
    <row r="377" customFormat="false" ht="18" hidden="false" customHeight="true" outlineLevel="0" collapsed="false">
      <c r="B377" s="40"/>
      <c r="C377" s="41" t="str">
        <f aca="false">IF(B377="","",TEXT(B377,"DDD"))</f>
        <v/>
      </c>
      <c r="D377" s="10"/>
      <c r="E377" s="10"/>
      <c r="F377" s="11"/>
      <c r="G377" s="18" t="str">
        <f aca="false">IF(D377="","",IFERROR(VLOOKUP(D377,'📦 INVENTORY'!B:J,9,0),""))</f>
        <v/>
      </c>
      <c r="H377" s="35" t="str">
        <f aca="false">IF(OR(F377="",G377=""),"",F377*G377)</f>
        <v/>
      </c>
      <c r="I377" s="41"/>
      <c r="J377" s="41"/>
    </row>
    <row r="378" customFormat="false" ht="18" hidden="false" customHeight="true" outlineLevel="0" collapsed="false">
      <c r="B378" s="42"/>
      <c r="C378" s="43" t="str">
        <f aca="false">IF(B378="","",TEXT(B378,"DDD"))</f>
        <v/>
      </c>
      <c r="D378" s="13"/>
      <c r="E378" s="13"/>
      <c r="F378" s="14"/>
      <c r="G378" s="17" t="str">
        <f aca="false">IF(D378="","",IFERROR(VLOOKUP(D378,'📦 INVENTORY'!B:J,9,0),""))</f>
        <v/>
      </c>
      <c r="H378" s="44" t="str">
        <f aca="false">IF(OR(F378="",G378=""),"",F378*G378)</f>
        <v/>
      </c>
      <c r="I378" s="43"/>
      <c r="J378" s="43"/>
    </row>
    <row r="379" customFormat="false" ht="18" hidden="false" customHeight="true" outlineLevel="0" collapsed="false">
      <c r="B379" s="40"/>
      <c r="C379" s="41" t="str">
        <f aca="false">IF(B379="","",TEXT(B379,"DDD"))</f>
        <v/>
      </c>
      <c r="D379" s="10"/>
      <c r="E379" s="10"/>
      <c r="F379" s="11"/>
      <c r="G379" s="18" t="str">
        <f aca="false">IF(D379="","",IFERROR(VLOOKUP(D379,'📦 INVENTORY'!B:J,9,0),""))</f>
        <v/>
      </c>
      <c r="H379" s="35" t="str">
        <f aca="false">IF(OR(F379="",G379=""),"",F379*G379)</f>
        <v/>
      </c>
      <c r="I379" s="41"/>
      <c r="J379" s="41"/>
    </row>
    <row r="380" customFormat="false" ht="18" hidden="false" customHeight="true" outlineLevel="0" collapsed="false">
      <c r="B380" s="42"/>
      <c r="C380" s="43" t="str">
        <f aca="false">IF(B380="","",TEXT(B380,"DDD"))</f>
        <v/>
      </c>
      <c r="D380" s="13"/>
      <c r="E380" s="13"/>
      <c r="F380" s="14"/>
      <c r="G380" s="17" t="str">
        <f aca="false">IF(D380="","",IFERROR(VLOOKUP(D380,'📦 INVENTORY'!B:J,9,0),""))</f>
        <v/>
      </c>
      <c r="H380" s="44" t="str">
        <f aca="false">IF(OR(F380="",G380=""),"",F380*G380)</f>
        <v/>
      </c>
      <c r="I380" s="43"/>
      <c r="J380" s="43"/>
    </row>
    <row r="381" customFormat="false" ht="18" hidden="false" customHeight="true" outlineLevel="0" collapsed="false">
      <c r="B381" s="40"/>
      <c r="C381" s="41" t="str">
        <f aca="false">IF(B381="","",TEXT(B381,"DDD"))</f>
        <v/>
      </c>
      <c r="D381" s="10"/>
      <c r="E381" s="10"/>
      <c r="F381" s="11"/>
      <c r="G381" s="18" t="str">
        <f aca="false">IF(D381="","",IFERROR(VLOOKUP(D381,'📦 INVENTORY'!B:J,9,0),""))</f>
        <v/>
      </c>
      <c r="H381" s="35" t="str">
        <f aca="false">IF(OR(F381="",G381=""),"",F381*G381)</f>
        <v/>
      </c>
      <c r="I381" s="41"/>
      <c r="J381" s="41"/>
    </row>
    <row r="382" customFormat="false" ht="18" hidden="false" customHeight="true" outlineLevel="0" collapsed="false">
      <c r="B382" s="42"/>
      <c r="C382" s="43" t="str">
        <f aca="false">IF(B382="","",TEXT(B382,"DDD"))</f>
        <v/>
      </c>
      <c r="D382" s="13"/>
      <c r="E382" s="13"/>
      <c r="F382" s="14"/>
      <c r="G382" s="17" t="str">
        <f aca="false">IF(D382="","",IFERROR(VLOOKUP(D382,'📦 INVENTORY'!B:J,9,0),""))</f>
        <v/>
      </c>
      <c r="H382" s="44" t="str">
        <f aca="false">IF(OR(F382="",G382=""),"",F382*G382)</f>
        <v/>
      </c>
      <c r="I382" s="43"/>
      <c r="J382" s="43"/>
    </row>
    <row r="383" customFormat="false" ht="18" hidden="false" customHeight="true" outlineLevel="0" collapsed="false">
      <c r="B383" s="40"/>
      <c r="C383" s="41" t="str">
        <f aca="false">IF(B383="","",TEXT(B383,"DDD"))</f>
        <v/>
      </c>
      <c r="D383" s="10"/>
      <c r="E383" s="10"/>
      <c r="F383" s="11"/>
      <c r="G383" s="18" t="str">
        <f aca="false">IF(D383="","",IFERROR(VLOOKUP(D383,'📦 INVENTORY'!B:J,9,0),""))</f>
        <v/>
      </c>
      <c r="H383" s="35" t="str">
        <f aca="false">IF(OR(F383="",G383=""),"",F383*G383)</f>
        <v/>
      </c>
      <c r="I383" s="41"/>
      <c r="J383" s="41"/>
    </row>
    <row r="384" customFormat="false" ht="18" hidden="false" customHeight="true" outlineLevel="0" collapsed="false">
      <c r="B384" s="42"/>
      <c r="C384" s="43" t="str">
        <f aca="false">IF(B384="","",TEXT(B384,"DDD"))</f>
        <v/>
      </c>
      <c r="D384" s="13"/>
      <c r="E384" s="13"/>
      <c r="F384" s="14"/>
      <c r="G384" s="17" t="str">
        <f aca="false">IF(D384="","",IFERROR(VLOOKUP(D384,'📦 INVENTORY'!B:J,9,0),""))</f>
        <v/>
      </c>
      <c r="H384" s="44" t="str">
        <f aca="false">IF(OR(F384="",G384=""),"",F384*G384)</f>
        <v/>
      </c>
      <c r="I384" s="43"/>
      <c r="J384" s="43"/>
    </row>
    <row r="385" customFormat="false" ht="18" hidden="false" customHeight="true" outlineLevel="0" collapsed="false">
      <c r="B385" s="40"/>
      <c r="C385" s="41" t="str">
        <f aca="false">IF(B385="","",TEXT(B385,"DDD"))</f>
        <v/>
      </c>
      <c r="D385" s="10"/>
      <c r="E385" s="10"/>
      <c r="F385" s="11"/>
      <c r="G385" s="18" t="str">
        <f aca="false">IF(D385="","",IFERROR(VLOOKUP(D385,'📦 INVENTORY'!B:J,9,0),""))</f>
        <v/>
      </c>
      <c r="H385" s="35" t="str">
        <f aca="false">IF(OR(F385="",G385=""),"",F385*G385)</f>
        <v/>
      </c>
      <c r="I385" s="41"/>
      <c r="J385" s="41"/>
    </row>
    <row r="386" customFormat="false" ht="18" hidden="false" customHeight="true" outlineLevel="0" collapsed="false">
      <c r="B386" s="42"/>
      <c r="C386" s="43" t="str">
        <f aca="false">IF(B386="","",TEXT(B386,"DDD"))</f>
        <v/>
      </c>
      <c r="D386" s="13"/>
      <c r="E386" s="13"/>
      <c r="F386" s="14"/>
      <c r="G386" s="17" t="str">
        <f aca="false">IF(D386="","",IFERROR(VLOOKUP(D386,'📦 INVENTORY'!B:J,9,0),""))</f>
        <v/>
      </c>
      <c r="H386" s="44" t="str">
        <f aca="false">IF(OR(F386="",G386=""),"",F386*G386)</f>
        <v/>
      </c>
      <c r="I386" s="43"/>
      <c r="J386" s="43"/>
    </row>
    <row r="387" customFormat="false" ht="18" hidden="false" customHeight="true" outlineLevel="0" collapsed="false">
      <c r="B387" s="40"/>
      <c r="C387" s="41" t="str">
        <f aca="false">IF(B387="","",TEXT(B387,"DDD"))</f>
        <v/>
      </c>
      <c r="D387" s="10"/>
      <c r="E387" s="10"/>
      <c r="F387" s="11"/>
      <c r="G387" s="18" t="str">
        <f aca="false">IF(D387="","",IFERROR(VLOOKUP(D387,'📦 INVENTORY'!B:J,9,0),""))</f>
        <v/>
      </c>
      <c r="H387" s="35" t="str">
        <f aca="false">IF(OR(F387="",G387=""),"",F387*G387)</f>
        <v/>
      </c>
      <c r="I387" s="41"/>
      <c r="J387" s="41"/>
    </row>
    <row r="388" customFormat="false" ht="18" hidden="false" customHeight="true" outlineLevel="0" collapsed="false">
      <c r="B388" s="42"/>
      <c r="C388" s="43" t="str">
        <f aca="false">IF(B388="","",TEXT(B388,"DDD"))</f>
        <v/>
      </c>
      <c r="D388" s="13"/>
      <c r="E388" s="13"/>
      <c r="F388" s="14"/>
      <c r="G388" s="17" t="str">
        <f aca="false">IF(D388="","",IFERROR(VLOOKUP(D388,'📦 INVENTORY'!B:J,9,0),""))</f>
        <v/>
      </c>
      <c r="H388" s="44" t="str">
        <f aca="false">IF(OR(F388="",G388=""),"",F388*G388)</f>
        <v/>
      </c>
      <c r="I388" s="43"/>
      <c r="J388" s="43"/>
    </row>
    <row r="389" customFormat="false" ht="18" hidden="false" customHeight="true" outlineLevel="0" collapsed="false">
      <c r="B389" s="40"/>
      <c r="C389" s="41" t="str">
        <f aca="false">IF(B389="","",TEXT(B389,"DDD"))</f>
        <v/>
      </c>
      <c r="D389" s="10"/>
      <c r="E389" s="10"/>
      <c r="F389" s="11"/>
      <c r="G389" s="18" t="str">
        <f aca="false">IF(D389="","",IFERROR(VLOOKUP(D389,'📦 INVENTORY'!B:J,9,0),""))</f>
        <v/>
      </c>
      <c r="H389" s="35" t="str">
        <f aca="false">IF(OR(F389="",G389=""),"",F389*G389)</f>
        <v/>
      </c>
      <c r="I389" s="41"/>
      <c r="J389" s="41"/>
    </row>
    <row r="390" customFormat="false" ht="18" hidden="false" customHeight="true" outlineLevel="0" collapsed="false">
      <c r="B390" s="42"/>
      <c r="C390" s="43" t="str">
        <f aca="false">IF(B390="","",TEXT(B390,"DDD"))</f>
        <v/>
      </c>
      <c r="D390" s="13"/>
      <c r="E390" s="13"/>
      <c r="F390" s="14"/>
      <c r="G390" s="17" t="str">
        <f aca="false">IF(D390="","",IFERROR(VLOOKUP(D390,'📦 INVENTORY'!B:J,9,0),""))</f>
        <v/>
      </c>
      <c r="H390" s="44" t="str">
        <f aca="false">IF(OR(F390="",G390=""),"",F390*G390)</f>
        <v/>
      </c>
      <c r="I390" s="43"/>
      <c r="J390" s="43"/>
    </row>
    <row r="391" customFormat="false" ht="18" hidden="false" customHeight="true" outlineLevel="0" collapsed="false">
      <c r="B391" s="40"/>
      <c r="C391" s="41" t="str">
        <f aca="false">IF(B391="","",TEXT(B391,"DDD"))</f>
        <v/>
      </c>
      <c r="D391" s="10"/>
      <c r="E391" s="10"/>
      <c r="F391" s="11"/>
      <c r="G391" s="18" t="str">
        <f aca="false">IF(D391="","",IFERROR(VLOOKUP(D391,'📦 INVENTORY'!B:J,9,0),""))</f>
        <v/>
      </c>
      <c r="H391" s="35" t="str">
        <f aca="false">IF(OR(F391="",G391=""),"",F391*G391)</f>
        <v/>
      </c>
      <c r="I391" s="41"/>
      <c r="J391" s="41"/>
    </row>
    <row r="392" customFormat="false" ht="18" hidden="false" customHeight="true" outlineLevel="0" collapsed="false">
      <c r="B392" s="42"/>
      <c r="C392" s="43" t="str">
        <f aca="false">IF(B392="","",TEXT(B392,"DDD"))</f>
        <v/>
      </c>
      <c r="D392" s="13"/>
      <c r="E392" s="13"/>
      <c r="F392" s="14"/>
      <c r="G392" s="17" t="str">
        <f aca="false">IF(D392="","",IFERROR(VLOOKUP(D392,'📦 INVENTORY'!B:J,9,0),""))</f>
        <v/>
      </c>
      <c r="H392" s="44" t="str">
        <f aca="false">IF(OR(F392="",G392=""),"",F392*G392)</f>
        <v/>
      </c>
      <c r="I392" s="43"/>
      <c r="J392" s="43"/>
    </row>
    <row r="393" customFormat="false" ht="18" hidden="false" customHeight="true" outlineLevel="0" collapsed="false">
      <c r="B393" s="40"/>
      <c r="C393" s="41" t="str">
        <f aca="false">IF(B393="","",TEXT(B393,"DDD"))</f>
        <v/>
      </c>
      <c r="D393" s="10"/>
      <c r="E393" s="10"/>
      <c r="F393" s="11"/>
      <c r="G393" s="18" t="str">
        <f aca="false">IF(D393="","",IFERROR(VLOOKUP(D393,'📦 INVENTORY'!B:J,9,0),""))</f>
        <v/>
      </c>
      <c r="H393" s="35" t="str">
        <f aca="false">IF(OR(F393="",G393=""),"",F393*G393)</f>
        <v/>
      </c>
      <c r="I393" s="41"/>
      <c r="J393" s="41"/>
    </row>
    <row r="394" customFormat="false" ht="18" hidden="false" customHeight="true" outlineLevel="0" collapsed="false">
      <c r="B394" s="42"/>
      <c r="C394" s="43" t="str">
        <f aca="false">IF(B394="","",TEXT(B394,"DDD"))</f>
        <v/>
      </c>
      <c r="D394" s="13"/>
      <c r="E394" s="13"/>
      <c r="F394" s="14"/>
      <c r="G394" s="17" t="str">
        <f aca="false">IF(D394="","",IFERROR(VLOOKUP(D394,'📦 INVENTORY'!B:J,9,0),""))</f>
        <v/>
      </c>
      <c r="H394" s="44" t="str">
        <f aca="false">IF(OR(F394="",G394=""),"",F394*G394)</f>
        <v/>
      </c>
      <c r="I394" s="43"/>
      <c r="J394" s="43"/>
    </row>
    <row r="395" customFormat="false" ht="18" hidden="false" customHeight="true" outlineLevel="0" collapsed="false">
      <c r="B395" s="40"/>
      <c r="C395" s="41" t="str">
        <f aca="false">IF(B395="","",TEXT(B395,"DDD"))</f>
        <v/>
      </c>
      <c r="D395" s="10"/>
      <c r="E395" s="10"/>
      <c r="F395" s="11"/>
      <c r="G395" s="18" t="str">
        <f aca="false">IF(D395="","",IFERROR(VLOOKUP(D395,'📦 INVENTORY'!B:J,9,0),""))</f>
        <v/>
      </c>
      <c r="H395" s="35" t="str">
        <f aca="false">IF(OR(F395="",G395=""),"",F395*G395)</f>
        <v/>
      </c>
      <c r="I395" s="41"/>
      <c r="J395" s="41"/>
    </row>
    <row r="396" customFormat="false" ht="18" hidden="false" customHeight="true" outlineLevel="0" collapsed="false">
      <c r="B396" s="42"/>
      <c r="C396" s="43" t="str">
        <f aca="false">IF(B396="","",TEXT(B396,"DDD"))</f>
        <v/>
      </c>
      <c r="D396" s="13"/>
      <c r="E396" s="13"/>
      <c r="F396" s="14"/>
      <c r="G396" s="17" t="str">
        <f aca="false">IF(D396="","",IFERROR(VLOOKUP(D396,'📦 INVENTORY'!B:J,9,0),""))</f>
        <v/>
      </c>
      <c r="H396" s="44" t="str">
        <f aca="false">IF(OR(F396="",G396=""),"",F396*G396)</f>
        <v/>
      </c>
      <c r="I396" s="43"/>
      <c r="J396" s="43"/>
    </row>
    <row r="397" customFormat="false" ht="18" hidden="false" customHeight="true" outlineLevel="0" collapsed="false">
      <c r="B397" s="40"/>
      <c r="C397" s="41" t="str">
        <f aca="false">IF(B397="","",TEXT(B397,"DDD"))</f>
        <v/>
      </c>
      <c r="D397" s="10"/>
      <c r="E397" s="10"/>
      <c r="F397" s="11"/>
      <c r="G397" s="18" t="str">
        <f aca="false">IF(D397="","",IFERROR(VLOOKUP(D397,'📦 INVENTORY'!B:J,9,0),""))</f>
        <v/>
      </c>
      <c r="H397" s="35" t="str">
        <f aca="false">IF(OR(F397="",G397=""),"",F397*G397)</f>
        <v/>
      </c>
      <c r="I397" s="41"/>
      <c r="J397" s="41"/>
    </row>
    <row r="398" customFormat="false" ht="18" hidden="false" customHeight="true" outlineLevel="0" collapsed="false">
      <c r="B398" s="42"/>
      <c r="C398" s="43" t="str">
        <f aca="false">IF(B398="","",TEXT(B398,"DDD"))</f>
        <v/>
      </c>
      <c r="D398" s="13"/>
      <c r="E398" s="13"/>
      <c r="F398" s="14"/>
      <c r="G398" s="17" t="str">
        <f aca="false">IF(D398="","",IFERROR(VLOOKUP(D398,'📦 INVENTORY'!B:J,9,0),""))</f>
        <v/>
      </c>
      <c r="H398" s="44" t="str">
        <f aca="false">IF(OR(F398="",G398=""),"",F398*G398)</f>
        <v/>
      </c>
      <c r="I398" s="43"/>
      <c r="J398" s="43"/>
    </row>
    <row r="399" customFormat="false" ht="18" hidden="false" customHeight="true" outlineLevel="0" collapsed="false">
      <c r="B399" s="40"/>
      <c r="C399" s="41" t="str">
        <f aca="false">IF(B399="","",TEXT(B399,"DDD"))</f>
        <v/>
      </c>
      <c r="D399" s="10"/>
      <c r="E399" s="10"/>
      <c r="F399" s="11"/>
      <c r="G399" s="18" t="str">
        <f aca="false">IF(D399="","",IFERROR(VLOOKUP(D399,'📦 INVENTORY'!B:J,9,0),""))</f>
        <v/>
      </c>
      <c r="H399" s="35" t="str">
        <f aca="false">IF(OR(F399="",G399=""),"",F399*G399)</f>
        <v/>
      </c>
      <c r="I399" s="41"/>
      <c r="J399" s="41"/>
    </row>
    <row r="400" customFormat="false" ht="18" hidden="false" customHeight="true" outlineLevel="0" collapsed="false">
      <c r="B400" s="42"/>
      <c r="C400" s="43" t="str">
        <f aca="false">IF(B400="","",TEXT(B400,"DDD"))</f>
        <v/>
      </c>
      <c r="D400" s="13"/>
      <c r="E400" s="13"/>
      <c r="F400" s="14"/>
      <c r="G400" s="17" t="str">
        <f aca="false">IF(D400="","",IFERROR(VLOOKUP(D400,'📦 INVENTORY'!B:J,9,0),""))</f>
        <v/>
      </c>
      <c r="H400" s="44" t="str">
        <f aca="false">IF(OR(F400="",G400=""),"",F400*G400)</f>
        <v/>
      </c>
      <c r="I400" s="43"/>
      <c r="J400" s="43"/>
    </row>
    <row r="401" customFormat="false" ht="18" hidden="false" customHeight="true" outlineLevel="0" collapsed="false">
      <c r="B401" s="40"/>
      <c r="C401" s="41" t="str">
        <f aca="false">IF(B401="","",TEXT(B401,"DDD"))</f>
        <v/>
      </c>
      <c r="D401" s="10"/>
      <c r="E401" s="10"/>
      <c r="F401" s="11"/>
      <c r="G401" s="18" t="str">
        <f aca="false">IF(D401="","",IFERROR(VLOOKUP(D401,'📦 INVENTORY'!B:J,9,0),""))</f>
        <v/>
      </c>
      <c r="H401" s="35" t="str">
        <f aca="false">IF(OR(F401="",G401=""),"",F401*G401)</f>
        <v/>
      </c>
      <c r="I401" s="41"/>
      <c r="J401" s="41"/>
    </row>
    <row r="402" customFormat="false" ht="18" hidden="false" customHeight="true" outlineLevel="0" collapsed="false">
      <c r="B402" s="42"/>
      <c r="C402" s="43" t="str">
        <f aca="false">IF(B402="","",TEXT(B402,"DDD"))</f>
        <v/>
      </c>
      <c r="D402" s="13"/>
      <c r="E402" s="13"/>
      <c r="F402" s="14"/>
      <c r="G402" s="17" t="str">
        <f aca="false">IF(D402="","",IFERROR(VLOOKUP(D402,'📦 INVENTORY'!B:J,9,0),""))</f>
        <v/>
      </c>
      <c r="H402" s="44" t="str">
        <f aca="false">IF(OR(F402="",G402=""),"",F402*G402)</f>
        <v/>
      </c>
      <c r="I402" s="43"/>
      <c r="J402" s="43"/>
    </row>
    <row r="403" customFormat="false" ht="18" hidden="false" customHeight="true" outlineLevel="0" collapsed="false">
      <c r="B403" s="40"/>
      <c r="C403" s="41" t="str">
        <f aca="false">IF(B403="","",TEXT(B403,"DDD"))</f>
        <v/>
      </c>
      <c r="D403" s="10"/>
      <c r="E403" s="10"/>
      <c r="F403" s="11"/>
      <c r="G403" s="18" t="str">
        <f aca="false">IF(D403="","",IFERROR(VLOOKUP(D403,'📦 INVENTORY'!B:J,9,0),""))</f>
        <v/>
      </c>
      <c r="H403" s="35" t="str">
        <f aca="false">IF(OR(F403="",G403=""),"",F403*G403)</f>
        <v/>
      </c>
      <c r="I403" s="41"/>
      <c r="J403" s="41"/>
    </row>
    <row r="404" customFormat="false" ht="18" hidden="false" customHeight="true" outlineLevel="0" collapsed="false">
      <c r="B404" s="42"/>
      <c r="C404" s="43" t="str">
        <f aca="false">IF(B404="","",TEXT(B404,"DDD"))</f>
        <v/>
      </c>
      <c r="D404" s="13"/>
      <c r="E404" s="13"/>
      <c r="F404" s="14"/>
      <c r="G404" s="17" t="str">
        <f aca="false">IF(D404="","",IFERROR(VLOOKUP(D404,'📦 INVENTORY'!B:J,9,0),""))</f>
        <v/>
      </c>
      <c r="H404" s="44" t="str">
        <f aca="false">IF(OR(F404="",G404=""),"",F404*G404)</f>
        <v/>
      </c>
      <c r="I404" s="43"/>
      <c r="J404" s="43"/>
    </row>
    <row r="405" customFormat="false" ht="18" hidden="false" customHeight="true" outlineLevel="0" collapsed="false">
      <c r="B405" s="40"/>
      <c r="C405" s="41" t="str">
        <f aca="false">IF(B405="","",TEXT(B405,"DDD"))</f>
        <v/>
      </c>
      <c r="D405" s="10"/>
      <c r="E405" s="10"/>
      <c r="F405" s="11"/>
      <c r="G405" s="18" t="str">
        <f aca="false">IF(D405="","",IFERROR(VLOOKUP(D405,'📦 INVENTORY'!B:J,9,0),""))</f>
        <v/>
      </c>
      <c r="H405" s="35" t="str">
        <f aca="false">IF(OR(F405="",G405=""),"",F405*G405)</f>
        <v/>
      </c>
      <c r="I405" s="41"/>
      <c r="J405" s="41"/>
    </row>
    <row r="406" customFormat="false" ht="18" hidden="false" customHeight="true" outlineLevel="0" collapsed="false">
      <c r="B406" s="42"/>
      <c r="C406" s="43" t="str">
        <f aca="false">IF(B406="","",TEXT(B406,"DDD"))</f>
        <v/>
      </c>
      <c r="D406" s="13"/>
      <c r="E406" s="13"/>
      <c r="F406" s="14"/>
      <c r="G406" s="17" t="str">
        <f aca="false">IF(D406="","",IFERROR(VLOOKUP(D406,'📦 INVENTORY'!B:J,9,0),""))</f>
        <v/>
      </c>
      <c r="H406" s="44" t="str">
        <f aca="false">IF(OR(F406="",G406=""),"",F406*G406)</f>
        <v/>
      </c>
      <c r="I406" s="43"/>
      <c r="J406" s="43"/>
    </row>
    <row r="407" customFormat="false" ht="18" hidden="false" customHeight="true" outlineLevel="0" collapsed="false">
      <c r="B407" s="40"/>
      <c r="C407" s="41" t="str">
        <f aca="false">IF(B407="","",TEXT(B407,"DDD"))</f>
        <v/>
      </c>
      <c r="D407" s="10"/>
      <c r="E407" s="10"/>
      <c r="F407" s="11"/>
      <c r="G407" s="18" t="str">
        <f aca="false">IF(D407="","",IFERROR(VLOOKUP(D407,'📦 INVENTORY'!B:J,9,0),""))</f>
        <v/>
      </c>
      <c r="H407" s="35" t="str">
        <f aca="false">IF(OR(F407="",G407=""),"",F407*G407)</f>
        <v/>
      </c>
      <c r="I407" s="41"/>
      <c r="J407" s="41"/>
    </row>
    <row r="408" customFormat="false" ht="18" hidden="false" customHeight="true" outlineLevel="0" collapsed="false">
      <c r="B408" s="42"/>
      <c r="C408" s="43" t="str">
        <f aca="false">IF(B408="","",TEXT(B408,"DDD"))</f>
        <v/>
      </c>
      <c r="D408" s="13"/>
      <c r="E408" s="13"/>
      <c r="F408" s="14"/>
      <c r="G408" s="17" t="str">
        <f aca="false">IF(D408="","",IFERROR(VLOOKUP(D408,'📦 INVENTORY'!B:J,9,0),""))</f>
        <v/>
      </c>
      <c r="H408" s="44" t="str">
        <f aca="false">IF(OR(F408="",G408=""),"",F408*G408)</f>
        <v/>
      </c>
      <c r="I408" s="43"/>
      <c r="J408" s="43"/>
    </row>
    <row r="409" customFormat="false" ht="18" hidden="false" customHeight="true" outlineLevel="0" collapsed="false">
      <c r="B409" s="40"/>
      <c r="C409" s="41" t="str">
        <f aca="false">IF(B409="","",TEXT(B409,"DDD"))</f>
        <v/>
      </c>
      <c r="D409" s="10"/>
      <c r="E409" s="10"/>
      <c r="F409" s="11"/>
      <c r="G409" s="18" t="str">
        <f aca="false">IF(D409="","",IFERROR(VLOOKUP(D409,'📦 INVENTORY'!B:J,9,0),""))</f>
        <v/>
      </c>
      <c r="H409" s="35" t="str">
        <f aca="false">IF(OR(F409="",G409=""),"",F409*G409)</f>
        <v/>
      </c>
      <c r="I409" s="41"/>
      <c r="J409" s="41"/>
    </row>
    <row r="410" customFormat="false" ht="18" hidden="false" customHeight="true" outlineLevel="0" collapsed="false">
      <c r="B410" s="42"/>
      <c r="C410" s="43" t="str">
        <f aca="false">IF(B410="","",TEXT(B410,"DDD"))</f>
        <v/>
      </c>
      <c r="D410" s="13"/>
      <c r="E410" s="13"/>
      <c r="F410" s="14"/>
      <c r="G410" s="17" t="str">
        <f aca="false">IF(D410="","",IFERROR(VLOOKUP(D410,'📦 INVENTORY'!B:J,9,0),""))</f>
        <v/>
      </c>
      <c r="H410" s="44" t="str">
        <f aca="false">IF(OR(F410="",G410=""),"",F410*G410)</f>
        <v/>
      </c>
      <c r="I410" s="43"/>
      <c r="J410" s="43"/>
    </row>
    <row r="411" customFormat="false" ht="18" hidden="false" customHeight="true" outlineLevel="0" collapsed="false">
      <c r="B411" s="40"/>
      <c r="C411" s="41" t="str">
        <f aca="false">IF(B411="","",TEXT(B411,"DDD"))</f>
        <v/>
      </c>
      <c r="D411" s="10"/>
      <c r="E411" s="10"/>
      <c r="F411" s="11"/>
      <c r="G411" s="18" t="str">
        <f aca="false">IF(D411="","",IFERROR(VLOOKUP(D411,'📦 INVENTORY'!B:J,9,0),""))</f>
        <v/>
      </c>
      <c r="H411" s="35" t="str">
        <f aca="false">IF(OR(F411="",G411=""),"",F411*G411)</f>
        <v/>
      </c>
      <c r="I411" s="41"/>
      <c r="J411" s="41"/>
    </row>
    <row r="412" customFormat="false" ht="18" hidden="false" customHeight="true" outlineLevel="0" collapsed="false">
      <c r="B412" s="42"/>
      <c r="C412" s="43" t="str">
        <f aca="false">IF(B412="","",TEXT(B412,"DDD"))</f>
        <v/>
      </c>
      <c r="D412" s="13"/>
      <c r="E412" s="13"/>
      <c r="F412" s="14"/>
      <c r="G412" s="17" t="str">
        <f aca="false">IF(D412="","",IFERROR(VLOOKUP(D412,'📦 INVENTORY'!B:J,9,0),""))</f>
        <v/>
      </c>
      <c r="H412" s="44" t="str">
        <f aca="false">IF(OR(F412="",G412=""),"",F412*G412)</f>
        <v/>
      </c>
      <c r="I412" s="43"/>
      <c r="J412" s="43"/>
    </row>
    <row r="413" customFormat="false" ht="18" hidden="false" customHeight="true" outlineLevel="0" collapsed="false">
      <c r="B413" s="40"/>
      <c r="C413" s="41" t="str">
        <f aca="false">IF(B413="","",TEXT(B413,"DDD"))</f>
        <v/>
      </c>
      <c r="D413" s="10"/>
      <c r="E413" s="10"/>
      <c r="F413" s="11"/>
      <c r="G413" s="18" t="str">
        <f aca="false">IF(D413="","",IFERROR(VLOOKUP(D413,'📦 INVENTORY'!B:J,9,0),""))</f>
        <v/>
      </c>
      <c r="H413" s="35" t="str">
        <f aca="false">IF(OR(F413="",G413=""),"",F413*G413)</f>
        <v/>
      </c>
      <c r="I413" s="41"/>
      <c r="J413" s="41"/>
    </row>
    <row r="414" customFormat="false" ht="18" hidden="false" customHeight="true" outlineLevel="0" collapsed="false">
      <c r="B414" s="42"/>
      <c r="C414" s="43" t="str">
        <f aca="false">IF(B414="","",TEXT(B414,"DDD"))</f>
        <v/>
      </c>
      <c r="D414" s="13"/>
      <c r="E414" s="13"/>
      <c r="F414" s="14"/>
      <c r="G414" s="17" t="str">
        <f aca="false">IF(D414="","",IFERROR(VLOOKUP(D414,'📦 INVENTORY'!B:J,9,0),""))</f>
        <v/>
      </c>
      <c r="H414" s="44" t="str">
        <f aca="false">IF(OR(F414="",G414=""),"",F414*G414)</f>
        <v/>
      </c>
      <c r="I414" s="43"/>
      <c r="J414" s="43"/>
    </row>
    <row r="415" customFormat="false" ht="18" hidden="false" customHeight="true" outlineLevel="0" collapsed="false">
      <c r="B415" s="40"/>
      <c r="C415" s="41" t="str">
        <f aca="false">IF(B415="","",TEXT(B415,"DDD"))</f>
        <v/>
      </c>
      <c r="D415" s="10"/>
      <c r="E415" s="10"/>
      <c r="F415" s="11"/>
      <c r="G415" s="18" t="str">
        <f aca="false">IF(D415="","",IFERROR(VLOOKUP(D415,'📦 INVENTORY'!B:J,9,0),""))</f>
        <v/>
      </c>
      <c r="H415" s="35" t="str">
        <f aca="false">IF(OR(F415="",G415=""),"",F415*G415)</f>
        <v/>
      </c>
      <c r="I415" s="41"/>
      <c r="J415" s="41"/>
    </row>
    <row r="416" customFormat="false" ht="18" hidden="false" customHeight="true" outlineLevel="0" collapsed="false">
      <c r="B416" s="42"/>
      <c r="C416" s="43" t="str">
        <f aca="false">IF(B416="","",TEXT(B416,"DDD"))</f>
        <v/>
      </c>
      <c r="D416" s="13"/>
      <c r="E416" s="13"/>
      <c r="F416" s="14"/>
      <c r="G416" s="17" t="str">
        <f aca="false">IF(D416="","",IFERROR(VLOOKUP(D416,'📦 INVENTORY'!B:J,9,0),""))</f>
        <v/>
      </c>
      <c r="H416" s="44" t="str">
        <f aca="false">IF(OR(F416="",G416=""),"",F416*G416)</f>
        <v/>
      </c>
      <c r="I416" s="43"/>
      <c r="J416" s="43"/>
    </row>
    <row r="417" customFormat="false" ht="18" hidden="false" customHeight="true" outlineLevel="0" collapsed="false">
      <c r="B417" s="40"/>
      <c r="C417" s="41" t="str">
        <f aca="false">IF(B417="","",TEXT(B417,"DDD"))</f>
        <v/>
      </c>
      <c r="D417" s="10"/>
      <c r="E417" s="10"/>
      <c r="F417" s="11"/>
      <c r="G417" s="18" t="str">
        <f aca="false">IF(D417="","",IFERROR(VLOOKUP(D417,'📦 INVENTORY'!B:J,9,0),""))</f>
        <v/>
      </c>
      <c r="H417" s="35" t="str">
        <f aca="false">IF(OR(F417="",G417=""),"",F417*G417)</f>
        <v/>
      </c>
      <c r="I417" s="41"/>
      <c r="J417" s="41"/>
    </row>
    <row r="418" customFormat="false" ht="18" hidden="false" customHeight="true" outlineLevel="0" collapsed="false">
      <c r="B418" s="42"/>
      <c r="C418" s="43" t="str">
        <f aca="false">IF(B418="","",TEXT(B418,"DDD"))</f>
        <v/>
      </c>
      <c r="D418" s="13"/>
      <c r="E418" s="13"/>
      <c r="F418" s="14"/>
      <c r="G418" s="17" t="str">
        <f aca="false">IF(D418="","",IFERROR(VLOOKUP(D418,'📦 INVENTORY'!B:J,9,0),""))</f>
        <v/>
      </c>
      <c r="H418" s="44" t="str">
        <f aca="false">IF(OR(F418="",G418=""),"",F418*G418)</f>
        <v/>
      </c>
      <c r="I418" s="43"/>
      <c r="J418" s="43"/>
    </row>
    <row r="419" customFormat="false" ht="18" hidden="false" customHeight="true" outlineLevel="0" collapsed="false">
      <c r="B419" s="40"/>
      <c r="C419" s="41" t="str">
        <f aca="false">IF(B419="","",TEXT(B419,"DDD"))</f>
        <v/>
      </c>
      <c r="D419" s="10"/>
      <c r="E419" s="10"/>
      <c r="F419" s="11"/>
      <c r="G419" s="18" t="str">
        <f aca="false">IF(D419="","",IFERROR(VLOOKUP(D419,'📦 INVENTORY'!B:J,9,0),""))</f>
        <v/>
      </c>
      <c r="H419" s="35" t="str">
        <f aca="false">IF(OR(F419="",G419=""),"",F419*G419)</f>
        <v/>
      </c>
      <c r="I419" s="41"/>
      <c r="J419" s="41"/>
    </row>
    <row r="420" customFormat="false" ht="18" hidden="false" customHeight="true" outlineLevel="0" collapsed="false">
      <c r="B420" s="42"/>
      <c r="C420" s="43" t="str">
        <f aca="false">IF(B420="","",TEXT(B420,"DDD"))</f>
        <v/>
      </c>
      <c r="D420" s="13"/>
      <c r="E420" s="13"/>
      <c r="F420" s="14"/>
      <c r="G420" s="17" t="str">
        <f aca="false">IF(D420="","",IFERROR(VLOOKUP(D420,'📦 INVENTORY'!B:J,9,0),""))</f>
        <v/>
      </c>
      <c r="H420" s="44" t="str">
        <f aca="false">IF(OR(F420="",G420=""),"",F420*G420)</f>
        <v/>
      </c>
      <c r="I420" s="43"/>
      <c r="J420" s="43"/>
    </row>
    <row r="421" customFormat="false" ht="18" hidden="false" customHeight="true" outlineLevel="0" collapsed="false">
      <c r="B421" s="40"/>
      <c r="C421" s="41" t="str">
        <f aca="false">IF(B421="","",TEXT(B421,"DDD"))</f>
        <v/>
      </c>
      <c r="D421" s="10"/>
      <c r="E421" s="10"/>
      <c r="F421" s="11"/>
      <c r="G421" s="18" t="str">
        <f aca="false">IF(D421="","",IFERROR(VLOOKUP(D421,'📦 INVENTORY'!B:J,9,0),""))</f>
        <v/>
      </c>
      <c r="H421" s="35" t="str">
        <f aca="false">IF(OR(F421="",G421=""),"",F421*G421)</f>
        <v/>
      </c>
      <c r="I421" s="41"/>
      <c r="J421" s="41"/>
    </row>
    <row r="422" customFormat="false" ht="18" hidden="false" customHeight="true" outlineLevel="0" collapsed="false">
      <c r="B422" s="42"/>
      <c r="C422" s="43" t="str">
        <f aca="false">IF(B422="","",TEXT(B422,"DDD"))</f>
        <v/>
      </c>
      <c r="D422" s="13"/>
      <c r="E422" s="13"/>
      <c r="F422" s="14"/>
      <c r="G422" s="17" t="str">
        <f aca="false">IF(D422="","",IFERROR(VLOOKUP(D422,'📦 INVENTORY'!B:J,9,0),""))</f>
        <v/>
      </c>
      <c r="H422" s="44" t="str">
        <f aca="false">IF(OR(F422="",G422=""),"",F422*G422)</f>
        <v/>
      </c>
      <c r="I422" s="43"/>
      <c r="J422" s="43"/>
    </row>
    <row r="423" customFormat="false" ht="18" hidden="false" customHeight="true" outlineLevel="0" collapsed="false">
      <c r="B423" s="40"/>
      <c r="C423" s="41" t="str">
        <f aca="false">IF(B423="","",TEXT(B423,"DDD"))</f>
        <v/>
      </c>
      <c r="D423" s="10"/>
      <c r="E423" s="10"/>
      <c r="F423" s="11"/>
      <c r="G423" s="18" t="str">
        <f aca="false">IF(D423="","",IFERROR(VLOOKUP(D423,'📦 INVENTORY'!B:J,9,0),""))</f>
        <v/>
      </c>
      <c r="H423" s="35" t="str">
        <f aca="false">IF(OR(F423="",G423=""),"",F423*G423)</f>
        <v/>
      </c>
      <c r="I423" s="41"/>
      <c r="J423" s="41"/>
    </row>
    <row r="424" customFormat="false" ht="18" hidden="false" customHeight="true" outlineLevel="0" collapsed="false">
      <c r="B424" s="42"/>
      <c r="C424" s="43" t="str">
        <f aca="false">IF(B424="","",TEXT(B424,"DDD"))</f>
        <v/>
      </c>
      <c r="D424" s="13"/>
      <c r="E424" s="13"/>
      <c r="F424" s="14"/>
      <c r="G424" s="17" t="str">
        <f aca="false">IF(D424="","",IFERROR(VLOOKUP(D424,'📦 INVENTORY'!B:J,9,0),""))</f>
        <v/>
      </c>
      <c r="H424" s="44" t="str">
        <f aca="false">IF(OR(F424="",G424=""),"",F424*G424)</f>
        <v/>
      </c>
      <c r="I424" s="43"/>
      <c r="J424" s="43"/>
    </row>
    <row r="425" customFormat="false" ht="18" hidden="false" customHeight="true" outlineLevel="0" collapsed="false">
      <c r="B425" s="40"/>
      <c r="C425" s="41" t="str">
        <f aca="false">IF(B425="","",TEXT(B425,"DDD"))</f>
        <v/>
      </c>
      <c r="D425" s="10"/>
      <c r="E425" s="10"/>
      <c r="F425" s="11"/>
      <c r="G425" s="18" t="str">
        <f aca="false">IF(D425="","",IFERROR(VLOOKUP(D425,'📦 INVENTORY'!B:J,9,0),""))</f>
        <v/>
      </c>
      <c r="H425" s="35" t="str">
        <f aca="false">IF(OR(F425="",G425=""),"",F425*G425)</f>
        <v/>
      </c>
      <c r="I425" s="41"/>
      <c r="J425" s="41"/>
    </row>
    <row r="426" customFormat="false" ht="18" hidden="false" customHeight="true" outlineLevel="0" collapsed="false">
      <c r="B426" s="42"/>
      <c r="C426" s="43" t="str">
        <f aca="false">IF(B426="","",TEXT(B426,"DDD"))</f>
        <v/>
      </c>
      <c r="D426" s="13"/>
      <c r="E426" s="13"/>
      <c r="F426" s="14"/>
      <c r="G426" s="17" t="str">
        <f aca="false">IF(D426="","",IFERROR(VLOOKUP(D426,'📦 INVENTORY'!B:J,9,0),""))</f>
        <v/>
      </c>
      <c r="H426" s="44" t="str">
        <f aca="false">IF(OR(F426="",G426=""),"",F426*G426)</f>
        <v/>
      </c>
      <c r="I426" s="43"/>
      <c r="J426" s="43"/>
    </row>
    <row r="427" customFormat="false" ht="18" hidden="false" customHeight="true" outlineLevel="0" collapsed="false">
      <c r="B427" s="40"/>
      <c r="C427" s="41" t="str">
        <f aca="false">IF(B427="","",TEXT(B427,"DDD"))</f>
        <v/>
      </c>
      <c r="D427" s="10"/>
      <c r="E427" s="10"/>
      <c r="F427" s="11"/>
      <c r="G427" s="18" t="str">
        <f aca="false">IF(D427="","",IFERROR(VLOOKUP(D427,'📦 INVENTORY'!B:J,9,0),""))</f>
        <v/>
      </c>
      <c r="H427" s="35" t="str">
        <f aca="false">IF(OR(F427="",G427=""),"",F427*G427)</f>
        <v/>
      </c>
      <c r="I427" s="41"/>
      <c r="J427" s="41"/>
    </row>
    <row r="428" customFormat="false" ht="18" hidden="false" customHeight="true" outlineLevel="0" collapsed="false">
      <c r="B428" s="42"/>
      <c r="C428" s="43" t="str">
        <f aca="false">IF(B428="","",TEXT(B428,"DDD"))</f>
        <v/>
      </c>
      <c r="D428" s="13"/>
      <c r="E428" s="13"/>
      <c r="F428" s="14"/>
      <c r="G428" s="17" t="str">
        <f aca="false">IF(D428="","",IFERROR(VLOOKUP(D428,'📦 INVENTORY'!B:J,9,0),""))</f>
        <v/>
      </c>
      <c r="H428" s="44" t="str">
        <f aca="false">IF(OR(F428="",G428=""),"",F428*G428)</f>
        <v/>
      </c>
      <c r="I428" s="43"/>
      <c r="J428" s="43"/>
    </row>
    <row r="429" customFormat="false" ht="18" hidden="false" customHeight="true" outlineLevel="0" collapsed="false">
      <c r="B429" s="40"/>
      <c r="C429" s="41" t="str">
        <f aca="false">IF(B429="","",TEXT(B429,"DDD"))</f>
        <v/>
      </c>
      <c r="D429" s="10"/>
      <c r="E429" s="10"/>
      <c r="F429" s="11"/>
      <c r="G429" s="18" t="str">
        <f aca="false">IF(D429="","",IFERROR(VLOOKUP(D429,'📦 INVENTORY'!B:J,9,0),""))</f>
        <v/>
      </c>
      <c r="H429" s="35" t="str">
        <f aca="false">IF(OR(F429="",G429=""),"",F429*G429)</f>
        <v/>
      </c>
      <c r="I429" s="41"/>
      <c r="J429" s="41"/>
    </row>
    <row r="430" customFormat="false" ht="18" hidden="false" customHeight="true" outlineLevel="0" collapsed="false">
      <c r="B430" s="42"/>
      <c r="C430" s="43" t="str">
        <f aca="false">IF(B430="","",TEXT(B430,"DDD"))</f>
        <v/>
      </c>
      <c r="D430" s="13"/>
      <c r="E430" s="13"/>
      <c r="F430" s="14"/>
      <c r="G430" s="17" t="str">
        <f aca="false">IF(D430="","",IFERROR(VLOOKUP(D430,'📦 INVENTORY'!B:J,9,0),""))</f>
        <v/>
      </c>
      <c r="H430" s="44" t="str">
        <f aca="false">IF(OR(F430="",G430=""),"",F430*G430)</f>
        <v/>
      </c>
      <c r="I430" s="43"/>
      <c r="J430" s="43"/>
    </row>
    <row r="431" customFormat="false" ht="18" hidden="false" customHeight="true" outlineLevel="0" collapsed="false">
      <c r="B431" s="40"/>
      <c r="C431" s="41" t="str">
        <f aca="false">IF(B431="","",TEXT(B431,"DDD"))</f>
        <v/>
      </c>
      <c r="D431" s="10"/>
      <c r="E431" s="10"/>
      <c r="F431" s="11"/>
      <c r="G431" s="18" t="str">
        <f aca="false">IF(D431="","",IFERROR(VLOOKUP(D431,'📦 INVENTORY'!B:J,9,0),""))</f>
        <v/>
      </c>
      <c r="H431" s="35" t="str">
        <f aca="false">IF(OR(F431="",G431=""),"",F431*G431)</f>
        <v/>
      </c>
      <c r="I431" s="41"/>
      <c r="J431" s="41"/>
    </row>
    <row r="432" customFormat="false" ht="18" hidden="false" customHeight="true" outlineLevel="0" collapsed="false">
      <c r="B432" s="42"/>
      <c r="C432" s="43" t="str">
        <f aca="false">IF(B432="","",TEXT(B432,"DDD"))</f>
        <v/>
      </c>
      <c r="D432" s="13"/>
      <c r="E432" s="13"/>
      <c r="F432" s="14"/>
      <c r="G432" s="17" t="str">
        <f aca="false">IF(D432="","",IFERROR(VLOOKUP(D432,'📦 INVENTORY'!B:J,9,0),""))</f>
        <v/>
      </c>
      <c r="H432" s="44" t="str">
        <f aca="false">IF(OR(F432="",G432=""),"",F432*G432)</f>
        <v/>
      </c>
      <c r="I432" s="43"/>
      <c r="J432" s="43"/>
    </row>
    <row r="433" customFormat="false" ht="18" hidden="false" customHeight="true" outlineLevel="0" collapsed="false">
      <c r="B433" s="40"/>
      <c r="C433" s="41" t="str">
        <f aca="false">IF(B433="","",TEXT(B433,"DDD"))</f>
        <v/>
      </c>
      <c r="D433" s="10"/>
      <c r="E433" s="10"/>
      <c r="F433" s="11"/>
      <c r="G433" s="18" t="str">
        <f aca="false">IF(D433="","",IFERROR(VLOOKUP(D433,'📦 INVENTORY'!B:J,9,0),""))</f>
        <v/>
      </c>
      <c r="H433" s="35" t="str">
        <f aca="false">IF(OR(F433="",G433=""),"",F433*G433)</f>
        <v/>
      </c>
      <c r="I433" s="41"/>
      <c r="J433" s="41"/>
    </row>
    <row r="434" customFormat="false" ht="18" hidden="false" customHeight="true" outlineLevel="0" collapsed="false">
      <c r="B434" s="42"/>
      <c r="C434" s="43" t="str">
        <f aca="false">IF(B434="","",TEXT(B434,"DDD"))</f>
        <v/>
      </c>
      <c r="D434" s="13"/>
      <c r="E434" s="13"/>
      <c r="F434" s="14"/>
      <c r="G434" s="17" t="str">
        <f aca="false">IF(D434="","",IFERROR(VLOOKUP(D434,'📦 INVENTORY'!B:J,9,0),""))</f>
        <v/>
      </c>
      <c r="H434" s="44" t="str">
        <f aca="false">IF(OR(F434="",G434=""),"",F434*G434)</f>
        <v/>
      </c>
      <c r="I434" s="43"/>
      <c r="J434" s="43"/>
    </row>
    <row r="435" customFormat="false" ht="18" hidden="false" customHeight="true" outlineLevel="0" collapsed="false">
      <c r="B435" s="40"/>
      <c r="C435" s="41" t="str">
        <f aca="false">IF(B435="","",TEXT(B435,"DDD"))</f>
        <v/>
      </c>
      <c r="D435" s="10"/>
      <c r="E435" s="10"/>
      <c r="F435" s="11"/>
      <c r="G435" s="18" t="str">
        <f aca="false">IF(D435="","",IFERROR(VLOOKUP(D435,'📦 INVENTORY'!B:J,9,0),""))</f>
        <v/>
      </c>
      <c r="H435" s="35" t="str">
        <f aca="false">IF(OR(F435="",G435=""),"",F435*G435)</f>
        <v/>
      </c>
      <c r="I435" s="41"/>
      <c r="J435" s="41"/>
    </row>
    <row r="436" customFormat="false" ht="18" hidden="false" customHeight="true" outlineLevel="0" collapsed="false">
      <c r="B436" s="42"/>
      <c r="C436" s="43" t="str">
        <f aca="false">IF(B436="","",TEXT(B436,"DDD"))</f>
        <v/>
      </c>
      <c r="D436" s="13"/>
      <c r="E436" s="13"/>
      <c r="F436" s="14"/>
      <c r="G436" s="17" t="str">
        <f aca="false">IF(D436="","",IFERROR(VLOOKUP(D436,'📦 INVENTORY'!B:J,9,0),""))</f>
        <v/>
      </c>
      <c r="H436" s="44" t="str">
        <f aca="false">IF(OR(F436="",G436=""),"",F436*G436)</f>
        <v/>
      </c>
      <c r="I436" s="43"/>
      <c r="J436" s="43"/>
    </row>
    <row r="437" customFormat="false" ht="18" hidden="false" customHeight="true" outlineLevel="0" collapsed="false">
      <c r="B437" s="40"/>
      <c r="C437" s="41" t="str">
        <f aca="false">IF(B437="","",TEXT(B437,"DDD"))</f>
        <v/>
      </c>
      <c r="D437" s="10"/>
      <c r="E437" s="10"/>
      <c r="F437" s="11"/>
      <c r="G437" s="18" t="str">
        <f aca="false">IF(D437="","",IFERROR(VLOOKUP(D437,'📦 INVENTORY'!B:J,9,0),""))</f>
        <v/>
      </c>
      <c r="H437" s="35" t="str">
        <f aca="false">IF(OR(F437="",G437=""),"",F437*G437)</f>
        <v/>
      </c>
      <c r="I437" s="41"/>
      <c r="J437" s="41"/>
    </row>
    <row r="438" customFormat="false" ht="18" hidden="false" customHeight="true" outlineLevel="0" collapsed="false">
      <c r="B438" s="42"/>
      <c r="C438" s="43" t="str">
        <f aca="false">IF(B438="","",TEXT(B438,"DDD"))</f>
        <v/>
      </c>
      <c r="D438" s="13"/>
      <c r="E438" s="13"/>
      <c r="F438" s="14"/>
      <c r="G438" s="17" t="str">
        <f aca="false">IF(D438="","",IFERROR(VLOOKUP(D438,'📦 INVENTORY'!B:J,9,0),""))</f>
        <v/>
      </c>
      <c r="H438" s="44" t="str">
        <f aca="false">IF(OR(F438="",G438=""),"",F438*G438)</f>
        <v/>
      </c>
      <c r="I438" s="43"/>
      <c r="J438" s="43"/>
    </row>
    <row r="439" customFormat="false" ht="18" hidden="false" customHeight="true" outlineLevel="0" collapsed="false">
      <c r="B439" s="40"/>
      <c r="C439" s="41" t="str">
        <f aca="false">IF(B439="","",TEXT(B439,"DDD"))</f>
        <v/>
      </c>
      <c r="D439" s="10"/>
      <c r="E439" s="10"/>
      <c r="F439" s="11"/>
      <c r="G439" s="18" t="str">
        <f aca="false">IF(D439="","",IFERROR(VLOOKUP(D439,'📦 INVENTORY'!B:J,9,0),""))</f>
        <v/>
      </c>
      <c r="H439" s="35" t="str">
        <f aca="false">IF(OR(F439="",G439=""),"",F439*G439)</f>
        <v/>
      </c>
      <c r="I439" s="41"/>
      <c r="J439" s="41"/>
    </row>
    <row r="440" customFormat="false" ht="18" hidden="false" customHeight="true" outlineLevel="0" collapsed="false">
      <c r="B440" s="42"/>
      <c r="C440" s="43" t="str">
        <f aca="false">IF(B440="","",TEXT(B440,"DDD"))</f>
        <v/>
      </c>
      <c r="D440" s="13"/>
      <c r="E440" s="13"/>
      <c r="F440" s="14"/>
      <c r="G440" s="17" t="str">
        <f aca="false">IF(D440="","",IFERROR(VLOOKUP(D440,'📦 INVENTORY'!B:J,9,0),""))</f>
        <v/>
      </c>
      <c r="H440" s="44" t="str">
        <f aca="false">IF(OR(F440="",G440=""),"",F440*G440)</f>
        <v/>
      </c>
      <c r="I440" s="43"/>
      <c r="J440" s="43"/>
    </row>
    <row r="441" customFormat="false" ht="18" hidden="false" customHeight="true" outlineLevel="0" collapsed="false">
      <c r="B441" s="40"/>
      <c r="C441" s="41" t="str">
        <f aca="false">IF(B441="","",TEXT(B441,"DDD"))</f>
        <v/>
      </c>
      <c r="D441" s="10"/>
      <c r="E441" s="10"/>
      <c r="F441" s="11"/>
      <c r="G441" s="18" t="str">
        <f aca="false">IF(D441="","",IFERROR(VLOOKUP(D441,'📦 INVENTORY'!B:J,9,0),""))</f>
        <v/>
      </c>
      <c r="H441" s="35" t="str">
        <f aca="false">IF(OR(F441="",G441=""),"",F441*G441)</f>
        <v/>
      </c>
      <c r="I441" s="41"/>
      <c r="J441" s="41"/>
    </row>
    <row r="442" customFormat="false" ht="18" hidden="false" customHeight="true" outlineLevel="0" collapsed="false">
      <c r="B442" s="42"/>
      <c r="C442" s="43" t="str">
        <f aca="false">IF(B442="","",TEXT(B442,"DDD"))</f>
        <v/>
      </c>
      <c r="D442" s="13"/>
      <c r="E442" s="13"/>
      <c r="F442" s="14"/>
      <c r="G442" s="17" t="str">
        <f aca="false">IF(D442="","",IFERROR(VLOOKUP(D442,'📦 INVENTORY'!B:J,9,0),""))</f>
        <v/>
      </c>
      <c r="H442" s="44" t="str">
        <f aca="false">IF(OR(F442="",G442=""),"",F442*G442)</f>
        <v/>
      </c>
      <c r="I442" s="43"/>
      <c r="J442" s="43"/>
    </row>
    <row r="443" customFormat="false" ht="18" hidden="false" customHeight="true" outlineLevel="0" collapsed="false">
      <c r="B443" s="40"/>
      <c r="C443" s="41" t="str">
        <f aca="false">IF(B443="","",TEXT(B443,"DDD"))</f>
        <v/>
      </c>
      <c r="D443" s="10"/>
      <c r="E443" s="10"/>
      <c r="F443" s="11"/>
      <c r="G443" s="18" t="str">
        <f aca="false">IF(D443="","",IFERROR(VLOOKUP(D443,'📦 INVENTORY'!B:J,9,0),""))</f>
        <v/>
      </c>
      <c r="H443" s="35" t="str">
        <f aca="false">IF(OR(F443="",G443=""),"",F443*G443)</f>
        <v/>
      </c>
      <c r="I443" s="41"/>
      <c r="J443" s="41"/>
    </row>
    <row r="444" customFormat="false" ht="18" hidden="false" customHeight="true" outlineLevel="0" collapsed="false">
      <c r="B444" s="42"/>
      <c r="C444" s="43" t="str">
        <f aca="false">IF(B444="","",TEXT(B444,"DDD"))</f>
        <v/>
      </c>
      <c r="D444" s="13"/>
      <c r="E444" s="13"/>
      <c r="F444" s="14"/>
      <c r="G444" s="17" t="str">
        <f aca="false">IF(D444="","",IFERROR(VLOOKUP(D444,'📦 INVENTORY'!B:J,9,0),""))</f>
        <v/>
      </c>
      <c r="H444" s="44" t="str">
        <f aca="false">IF(OR(F444="",G444=""),"",F444*G444)</f>
        <v/>
      </c>
      <c r="I444" s="43"/>
      <c r="J444" s="43"/>
    </row>
    <row r="445" customFormat="false" ht="18" hidden="false" customHeight="true" outlineLevel="0" collapsed="false">
      <c r="B445" s="40"/>
      <c r="C445" s="41" t="str">
        <f aca="false">IF(B445="","",TEXT(B445,"DDD"))</f>
        <v/>
      </c>
      <c r="D445" s="10"/>
      <c r="E445" s="10"/>
      <c r="F445" s="11"/>
      <c r="G445" s="18" t="str">
        <f aca="false">IF(D445="","",IFERROR(VLOOKUP(D445,'📦 INVENTORY'!B:J,9,0),""))</f>
        <v/>
      </c>
      <c r="H445" s="35" t="str">
        <f aca="false">IF(OR(F445="",G445=""),"",F445*G445)</f>
        <v/>
      </c>
      <c r="I445" s="41"/>
      <c r="J445" s="41"/>
    </row>
    <row r="446" customFormat="false" ht="18" hidden="false" customHeight="true" outlineLevel="0" collapsed="false">
      <c r="B446" s="42"/>
      <c r="C446" s="43" t="str">
        <f aca="false">IF(B446="","",TEXT(B446,"DDD"))</f>
        <v/>
      </c>
      <c r="D446" s="13"/>
      <c r="E446" s="13"/>
      <c r="F446" s="14"/>
      <c r="G446" s="17" t="str">
        <f aca="false">IF(D446="","",IFERROR(VLOOKUP(D446,'📦 INVENTORY'!B:J,9,0),""))</f>
        <v/>
      </c>
      <c r="H446" s="44" t="str">
        <f aca="false">IF(OR(F446="",G446=""),"",F446*G446)</f>
        <v/>
      </c>
      <c r="I446" s="43"/>
      <c r="J446" s="43"/>
    </row>
    <row r="447" customFormat="false" ht="18" hidden="false" customHeight="true" outlineLevel="0" collapsed="false">
      <c r="B447" s="40"/>
      <c r="C447" s="41" t="str">
        <f aca="false">IF(B447="","",TEXT(B447,"DDD"))</f>
        <v/>
      </c>
      <c r="D447" s="10"/>
      <c r="E447" s="10"/>
      <c r="F447" s="11"/>
      <c r="G447" s="18" t="str">
        <f aca="false">IF(D447="","",IFERROR(VLOOKUP(D447,'📦 INVENTORY'!B:J,9,0),""))</f>
        <v/>
      </c>
      <c r="H447" s="35" t="str">
        <f aca="false">IF(OR(F447="",G447=""),"",F447*G447)</f>
        <v/>
      </c>
      <c r="I447" s="41"/>
      <c r="J447" s="41"/>
    </row>
    <row r="448" customFormat="false" ht="18" hidden="false" customHeight="true" outlineLevel="0" collapsed="false">
      <c r="B448" s="42"/>
      <c r="C448" s="43" t="str">
        <f aca="false">IF(B448="","",TEXT(B448,"DDD"))</f>
        <v/>
      </c>
      <c r="D448" s="13"/>
      <c r="E448" s="13"/>
      <c r="F448" s="14"/>
      <c r="G448" s="17" t="str">
        <f aca="false">IF(D448="","",IFERROR(VLOOKUP(D448,'📦 INVENTORY'!B:J,9,0),""))</f>
        <v/>
      </c>
      <c r="H448" s="44" t="str">
        <f aca="false">IF(OR(F448="",G448=""),"",F448*G448)</f>
        <v/>
      </c>
      <c r="I448" s="43"/>
      <c r="J448" s="43"/>
    </row>
    <row r="449" customFormat="false" ht="18" hidden="false" customHeight="true" outlineLevel="0" collapsed="false">
      <c r="B449" s="40"/>
      <c r="C449" s="41" t="str">
        <f aca="false">IF(B449="","",TEXT(B449,"DDD"))</f>
        <v/>
      </c>
      <c r="D449" s="10"/>
      <c r="E449" s="10"/>
      <c r="F449" s="11"/>
      <c r="G449" s="18" t="str">
        <f aca="false">IF(D449="","",IFERROR(VLOOKUP(D449,'📦 INVENTORY'!B:J,9,0),""))</f>
        <v/>
      </c>
      <c r="H449" s="35" t="str">
        <f aca="false">IF(OR(F449="",G449=""),"",F449*G449)</f>
        <v/>
      </c>
      <c r="I449" s="41"/>
      <c r="J449" s="41"/>
    </row>
    <row r="450" customFormat="false" ht="18" hidden="false" customHeight="true" outlineLevel="0" collapsed="false">
      <c r="B450" s="42"/>
      <c r="C450" s="43" t="str">
        <f aca="false">IF(B450="","",TEXT(B450,"DDD"))</f>
        <v/>
      </c>
      <c r="D450" s="13"/>
      <c r="E450" s="13"/>
      <c r="F450" s="14"/>
      <c r="G450" s="17" t="str">
        <f aca="false">IF(D450="","",IFERROR(VLOOKUP(D450,'📦 INVENTORY'!B:J,9,0),""))</f>
        <v/>
      </c>
      <c r="H450" s="44" t="str">
        <f aca="false">IF(OR(F450="",G450=""),"",F450*G450)</f>
        <v/>
      </c>
      <c r="I450" s="43"/>
      <c r="J450" s="43"/>
    </row>
    <row r="451" customFormat="false" ht="18" hidden="false" customHeight="true" outlineLevel="0" collapsed="false">
      <c r="B451" s="40"/>
      <c r="C451" s="41" t="str">
        <f aca="false">IF(B451="","",TEXT(B451,"DDD"))</f>
        <v/>
      </c>
      <c r="D451" s="10"/>
      <c r="E451" s="10"/>
      <c r="F451" s="11"/>
      <c r="G451" s="18" t="str">
        <f aca="false">IF(D451="","",IFERROR(VLOOKUP(D451,'📦 INVENTORY'!B:J,9,0),""))</f>
        <v/>
      </c>
      <c r="H451" s="35" t="str">
        <f aca="false">IF(OR(F451="",G451=""),"",F451*G451)</f>
        <v/>
      </c>
      <c r="I451" s="41"/>
      <c r="J451" s="41"/>
    </row>
    <row r="452" customFormat="false" ht="18" hidden="false" customHeight="true" outlineLevel="0" collapsed="false">
      <c r="B452" s="42"/>
      <c r="C452" s="43" t="str">
        <f aca="false">IF(B452="","",TEXT(B452,"DDD"))</f>
        <v/>
      </c>
      <c r="D452" s="13"/>
      <c r="E452" s="13"/>
      <c r="F452" s="14"/>
      <c r="G452" s="17" t="str">
        <f aca="false">IF(D452="","",IFERROR(VLOOKUP(D452,'📦 INVENTORY'!B:J,9,0),""))</f>
        <v/>
      </c>
      <c r="H452" s="44" t="str">
        <f aca="false">IF(OR(F452="",G452=""),"",F452*G452)</f>
        <v/>
      </c>
      <c r="I452" s="43"/>
      <c r="J452" s="43"/>
    </row>
    <row r="453" customFormat="false" ht="18" hidden="false" customHeight="true" outlineLevel="0" collapsed="false">
      <c r="B453" s="40"/>
      <c r="C453" s="41" t="str">
        <f aca="false">IF(B453="","",TEXT(B453,"DDD"))</f>
        <v/>
      </c>
      <c r="D453" s="10"/>
      <c r="E453" s="10"/>
      <c r="F453" s="11"/>
      <c r="G453" s="18" t="str">
        <f aca="false">IF(D453="","",IFERROR(VLOOKUP(D453,'📦 INVENTORY'!B:J,9,0),""))</f>
        <v/>
      </c>
      <c r="H453" s="35" t="str">
        <f aca="false">IF(OR(F453="",G453=""),"",F453*G453)</f>
        <v/>
      </c>
      <c r="I453" s="41"/>
      <c r="J453" s="41"/>
    </row>
    <row r="454" customFormat="false" ht="18" hidden="false" customHeight="true" outlineLevel="0" collapsed="false">
      <c r="B454" s="42"/>
      <c r="C454" s="43" t="str">
        <f aca="false">IF(B454="","",TEXT(B454,"DDD"))</f>
        <v/>
      </c>
      <c r="D454" s="13"/>
      <c r="E454" s="13"/>
      <c r="F454" s="14"/>
      <c r="G454" s="17" t="str">
        <f aca="false">IF(D454="","",IFERROR(VLOOKUP(D454,'📦 INVENTORY'!B:J,9,0),""))</f>
        <v/>
      </c>
      <c r="H454" s="44" t="str">
        <f aca="false">IF(OR(F454="",G454=""),"",F454*G454)</f>
        <v/>
      </c>
      <c r="I454" s="43"/>
      <c r="J454" s="43"/>
    </row>
    <row r="455" customFormat="false" ht="18" hidden="false" customHeight="true" outlineLevel="0" collapsed="false">
      <c r="B455" s="40"/>
      <c r="C455" s="41" t="str">
        <f aca="false">IF(B455="","",TEXT(B455,"DDD"))</f>
        <v/>
      </c>
      <c r="D455" s="10"/>
      <c r="E455" s="10"/>
      <c r="F455" s="11"/>
      <c r="G455" s="18" t="str">
        <f aca="false">IF(D455="","",IFERROR(VLOOKUP(D455,'📦 INVENTORY'!B:J,9,0),""))</f>
        <v/>
      </c>
      <c r="H455" s="35" t="str">
        <f aca="false">IF(OR(F455="",G455=""),"",F455*G455)</f>
        <v/>
      </c>
      <c r="I455" s="41"/>
      <c r="J455" s="41"/>
    </row>
    <row r="456" customFormat="false" ht="18" hidden="false" customHeight="true" outlineLevel="0" collapsed="false">
      <c r="B456" s="42"/>
      <c r="C456" s="43" t="str">
        <f aca="false">IF(B456="","",TEXT(B456,"DDD"))</f>
        <v/>
      </c>
      <c r="D456" s="13"/>
      <c r="E456" s="13"/>
      <c r="F456" s="14"/>
      <c r="G456" s="17" t="str">
        <f aca="false">IF(D456="","",IFERROR(VLOOKUP(D456,'📦 INVENTORY'!B:J,9,0),""))</f>
        <v/>
      </c>
      <c r="H456" s="44" t="str">
        <f aca="false">IF(OR(F456="",G456=""),"",F456*G456)</f>
        <v/>
      </c>
      <c r="I456" s="43"/>
      <c r="J456" s="43"/>
    </row>
    <row r="457" customFormat="false" ht="18" hidden="false" customHeight="true" outlineLevel="0" collapsed="false">
      <c r="B457" s="40"/>
      <c r="C457" s="41" t="str">
        <f aca="false">IF(B457="","",TEXT(B457,"DDD"))</f>
        <v/>
      </c>
      <c r="D457" s="10"/>
      <c r="E457" s="10"/>
      <c r="F457" s="11"/>
      <c r="G457" s="18" t="str">
        <f aca="false">IF(D457="","",IFERROR(VLOOKUP(D457,'📦 INVENTORY'!B:J,9,0),""))</f>
        <v/>
      </c>
      <c r="H457" s="35" t="str">
        <f aca="false">IF(OR(F457="",G457=""),"",F457*G457)</f>
        <v/>
      </c>
      <c r="I457" s="41"/>
      <c r="J457" s="41"/>
    </row>
    <row r="458" customFormat="false" ht="18" hidden="false" customHeight="true" outlineLevel="0" collapsed="false">
      <c r="B458" s="42"/>
      <c r="C458" s="43" t="str">
        <f aca="false">IF(B458="","",TEXT(B458,"DDD"))</f>
        <v/>
      </c>
      <c r="D458" s="13"/>
      <c r="E458" s="13"/>
      <c r="F458" s="14"/>
      <c r="G458" s="17" t="str">
        <f aca="false">IF(D458="","",IFERROR(VLOOKUP(D458,'📦 INVENTORY'!B:J,9,0),""))</f>
        <v/>
      </c>
      <c r="H458" s="44" t="str">
        <f aca="false">IF(OR(F458="",G458=""),"",F458*G458)</f>
        <v/>
      </c>
      <c r="I458" s="43"/>
      <c r="J458" s="43"/>
    </row>
    <row r="459" customFormat="false" ht="18" hidden="false" customHeight="true" outlineLevel="0" collapsed="false">
      <c r="B459" s="40"/>
      <c r="C459" s="41" t="str">
        <f aca="false">IF(B459="","",TEXT(B459,"DDD"))</f>
        <v/>
      </c>
      <c r="D459" s="10"/>
      <c r="E459" s="10"/>
      <c r="F459" s="11"/>
      <c r="G459" s="18" t="str">
        <f aca="false">IF(D459="","",IFERROR(VLOOKUP(D459,'📦 INVENTORY'!B:J,9,0),""))</f>
        <v/>
      </c>
      <c r="H459" s="35" t="str">
        <f aca="false">IF(OR(F459="",G459=""),"",F459*G459)</f>
        <v/>
      </c>
      <c r="I459" s="41"/>
      <c r="J459" s="41"/>
    </row>
    <row r="460" customFormat="false" ht="18" hidden="false" customHeight="true" outlineLevel="0" collapsed="false">
      <c r="B460" s="42"/>
      <c r="C460" s="43" t="str">
        <f aca="false">IF(B460="","",TEXT(B460,"DDD"))</f>
        <v/>
      </c>
      <c r="D460" s="13"/>
      <c r="E460" s="13"/>
      <c r="F460" s="14"/>
      <c r="G460" s="17" t="str">
        <f aca="false">IF(D460="","",IFERROR(VLOOKUP(D460,'📦 INVENTORY'!B:J,9,0),""))</f>
        <v/>
      </c>
      <c r="H460" s="44" t="str">
        <f aca="false">IF(OR(F460="",G460=""),"",F460*G460)</f>
        <v/>
      </c>
      <c r="I460" s="43"/>
      <c r="J460" s="43"/>
    </row>
    <row r="461" customFormat="false" ht="18" hidden="false" customHeight="true" outlineLevel="0" collapsed="false">
      <c r="B461" s="40"/>
      <c r="C461" s="41" t="str">
        <f aca="false">IF(B461="","",TEXT(B461,"DDD"))</f>
        <v/>
      </c>
      <c r="D461" s="10"/>
      <c r="E461" s="10"/>
      <c r="F461" s="11"/>
      <c r="G461" s="18" t="str">
        <f aca="false">IF(D461="","",IFERROR(VLOOKUP(D461,'📦 INVENTORY'!B:J,9,0),""))</f>
        <v/>
      </c>
      <c r="H461" s="35" t="str">
        <f aca="false">IF(OR(F461="",G461=""),"",F461*G461)</f>
        <v/>
      </c>
      <c r="I461" s="41"/>
      <c r="J461" s="41"/>
    </row>
    <row r="462" customFormat="false" ht="18" hidden="false" customHeight="true" outlineLevel="0" collapsed="false">
      <c r="B462" s="42"/>
      <c r="C462" s="43" t="str">
        <f aca="false">IF(B462="","",TEXT(B462,"DDD"))</f>
        <v/>
      </c>
      <c r="D462" s="13"/>
      <c r="E462" s="13"/>
      <c r="F462" s="14"/>
      <c r="G462" s="17" t="str">
        <f aca="false">IF(D462="","",IFERROR(VLOOKUP(D462,'📦 INVENTORY'!B:J,9,0),""))</f>
        <v/>
      </c>
      <c r="H462" s="44" t="str">
        <f aca="false">IF(OR(F462="",G462=""),"",F462*G462)</f>
        <v/>
      </c>
      <c r="I462" s="43"/>
      <c r="J462" s="43"/>
    </row>
    <row r="463" customFormat="false" ht="18" hidden="false" customHeight="true" outlineLevel="0" collapsed="false">
      <c r="B463" s="40"/>
      <c r="C463" s="41" t="str">
        <f aca="false">IF(B463="","",TEXT(B463,"DDD"))</f>
        <v/>
      </c>
      <c r="D463" s="10"/>
      <c r="E463" s="10"/>
      <c r="F463" s="11"/>
      <c r="G463" s="18" t="str">
        <f aca="false">IF(D463="","",IFERROR(VLOOKUP(D463,'📦 INVENTORY'!B:J,9,0),""))</f>
        <v/>
      </c>
      <c r="H463" s="35" t="str">
        <f aca="false">IF(OR(F463="",G463=""),"",F463*G463)</f>
        <v/>
      </c>
      <c r="I463" s="41"/>
      <c r="J463" s="41"/>
    </row>
    <row r="464" customFormat="false" ht="18" hidden="false" customHeight="true" outlineLevel="0" collapsed="false">
      <c r="B464" s="42"/>
      <c r="C464" s="43" t="str">
        <f aca="false">IF(B464="","",TEXT(B464,"DDD"))</f>
        <v/>
      </c>
      <c r="D464" s="13"/>
      <c r="E464" s="13"/>
      <c r="F464" s="14"/>
      <c r="G464" s="17" t="str">
        <f aca="false">IF(D464="","",IFERROR(VLOOKUP(D464,'📦 INVENTORY'!B:J,9,0),""))</f>
        <v/>
      </c>
      <c r="H464" s="44" t="str">
        <f aca="false">IF(OR(F464="",G464=""),"",F464*G464)</f>
        <v/>
      </c>
      <c r="I464" s="43"/>
      <c r="J464" s="43"/>
    </row>
    <row r="465" customFormat="false" ht="18" hidden="false" customHeight="true" outlineLevel="0" collapsed="false">
      <c r="B465" s="40"/>
      <c r="C465" s="41" t="str">
        <f aca="false">IF(B465="","",TEXT(B465,"DDD"))</f>
        <v/>
      </c>
      <c r="D465" s="10"/>
      <c r="E465" s="10"/>
      <c r="F465" s="11"/>
      <c r="G465" s="18" t="str">
        <f aca="false">IF(D465="","",IFERROR(VLOOKUP(D465,'📦 INVENTORY'!B:J,9,0),""))</f>
        <v/>
      </c>
      <c r="H465" s="35" t="str">
        <f aca="false">IF(OR(F465="",G465=""),"",F465*G465)</f>
        <v/>
      </c>
      <c r="I465" s="41"/>
      <c r="J465" s="41"/>
    </row>
    <row r="466" customFormat="false" ht="18" hidden="false" customHeight="true" outlineLevel="0" collapsed="false">
      <c r="B466" s="42"/>
      <c r="C466" s="43" t="str">
        <f aca="false">IF(B466="","",TEXT(B466,"DDD"))</f>
        <v/>
      </c>
      <c r="D466" s="13"/>
      <c r="E466" s="13"/>
      <c r="F466" s="14"/>
      <c r="G466" s="17" t="str">
        <f aca="false">IF(D466="","",IFERROR(VLOOKUP(D466,'📦 INVENTORY'!B:J,9,0),""))</f>
        <v/>
      </c>
      <c r="H466" s="44" t="str">
        <f aca="false">IF(OR(F466="",G466=""),"",F466*G466)</f>
        <v/>
      </c>
      <c r="I466" s="43"/>
      <c r="J466" s="43"/>
    </row>
    <row r="467" customFormat="false" ht="18" hidden="false" customHeight="true" outlineLevel="0" collapsed="false">
      <c r="B467" s="40"/>
      <c r="C467" s="41" t="str">
        <f aca="false">IF(B467="","",TEXT(B467,"DDD"))</f>
        <v/>
      </c>
      <c r="D467" s="10"/>
      <c r="E467" s="10"/>
      <c r="F467" s="11"/>
      <c r="G467" s="18" t="str">
        <f aca="false">IF(D467="","",IFERROR(VLOOKUP(D467,'📦 INVENTORY'!B:J,9,0),""))</f>
        <v/>
      </c>
      <c r="H467" s="35" t="str">
        <f aca="false">IF(OR(F467="",G467=""),"",F467*G467)</f>
        <v/>
      </c>
      <c r="I467" s="41"/>
      <c r="J467" s="41"/>
    </row>
    <row r="468" customFormat="false" ht="18" hidden="false" customHeight="true" outlineLevel="0" collapsed="false">
      <c r="B468" s="42"/>
      <c r="C468" s="43" t="str">
        <f aca="false">IF(B468="","",TEXT(B468,"DDD"))</f>
        <v/>
      </c>
      <c r="D468" s="13"/>
      <c r="E468" s="13"/>
      <c r="F468" s="14"/>
      <c r="G468" s="17" t="str">
        <f aca="false">IF(D468="","",IFERROR(VLOOKUP(D468,'📦 INVENTORY'!B:J,9,0),""))</f>
        <v/>
      </c>
      <c r="H468" s="44" t="str">
        <f aca="false">IF(OR(F468="",G468=""),"",F468*G468)</f>
        <v/>
      </c>
      <c r="I468" s="43"/>
      <c r="J468" s="43"/>
    </row>
    <row r="469" customFormat="false" ht="18" hidden="false" customHeight="true" outlineLevel="0" collapsed="false">
      <c r="B469" s="40"/>
      <c r="C469" s="41" t="str">
        <f aca="false">IF(B469="","",TEXT(B469,"DDD"))</f>
        <v/>
      </c>
      <c r="D469" s="10"/>
      <c r="E469" s="10"/>
      <c r="F469" s="11"/>
      <c r="G469" s="18" t="str">
        <f aca="false">IF(D469="","",IFERROR(VLOOKUP(D469,'📦 INVENTORY'!B:J,9,0),""))</f>
        <v/>
      </c>
      <c r="H469" s="35" t="str">
        <f aca="false">IF(OR(F469="",G469=""),"",F469*G469)</f>
        <v/>
      </c>
      <c r="I469" s="41"/>
      <c r="J469" s="41"/>
    </row>
    <row r="470" customFormat="false" ht="18" hidden="false" customHeight="true" outlineLevel="0" collapsed="false">
      <c r="B470" s="42"/>
      <c r="C470" s="43" t="str">
        <f aca="false">IF(B470="","",TEXT(B470,"DDD"))</f>
        <v/>
      </c>
      <c r="D470" s="13"/>
      <c r="E470" s="13"/>
      <c r="F470" s="14"/>
      <c r="G470" s="17" t="str">
        <f aca="false">IF(D470="","",IFERROR(VLOOKUP(D470,'📦 INVENTORY'!B:J,9,0),""))</f>
        <v/>
      </c>
      <c r="H470" s="44" t="str">
        <f aca="false">IF(OR(F470="",G470=""),"",F470*G470)</f>
        <v/>
      </c>
      <c r="I470" s="43"/>
      <c r="J470" s="43"/>
    </row>
    <row r="471" customFormat="false" ht="18" hidden="false" customHeight="true" outlineLevel="0" collapsed="false">
      <c r="B471" s="40"/>
      <c r="C471" s="41" t="str">
        <f aca="false">IF(B471="","",TEXT(B471,"DDD"))</f>
        <v/>
      </c>
      <c r="D471" s="10"/>
      <c r="E471" s="10"/>
      <c r="F471" s="11"/>
      <c r="G471" s="18" t="str">
        <f aca="false">IF(D471="","",IFERROR(VLOOKUP(D471,'📦 INVENTORY'!B:J,9,0),""))</f>
        <v/>
      </c>
      <c r="H471" s="35" t="str">
        <f aca="false">IF(OR(F471="",G471=""),"",F471*G471)</f>
        <v/>
      </c>
      <c r="I471" s="41"/>
      <c r="J471" s="41"/>
    </row>
    <row r="472" customFormat="false" ht="18" hidden="false" customHeight="true" outlineLevel="0" collapsed="false">
      <c r="B472" s="42"/>
      <c r="C472" s="43" t="str">
        <f aca="false">IF(B472="","",TEXT(B472,"DDD"))</f>
        <v/>
      </c>
      <c r="D472" s="13"/>
      <c r="E472" s="13"/>
      <c r="F472" s="14"/>
      <c r="G472" s="17" t="str">
        <f aca="false">IF(D472="","",IFERROR(VLOOKUP(D472,'📦 INVENTORY'!B:J,9,0),""))</f>
        <v/>
      </c>
      <c r="H472" s="44" t="str">
        <f aca="false">IF(OR(F472="",G472=""),"",F472*G472)</f>
        <v/>
      </c>
      <c r="I472" s="43"/>
      <c r="J472" s="43"/>
    </row>
    <row r="473" customFormat="false" ht="18" hidden="false" customHeight="true" outlineLevel="0" collapsed="false">
      <c r="B473" s="40"/>
      <c r="C473" s="41" t="str">
        <f aca="false">IF(B473="","",TEXT(B473,"DDD"))</f>
        <v/>
      </c>
      <c r="D473" s="10"/>
      <c r="E473" s="10"/>
      <c r="F473" s="11"/>
      <c r="G473" s="18" t="str">
        <f aca="false">IF(D473="","",IFERROR(VLOOKUP(D473,'📦 INVENTORY'!B:J,9,0),""))</f>
        <v/>
      </c>
      <c r="H473" s="35" t="str">
        <f aca="false">IF(OR(F473="",G473=""),"",F473*G473)</f>
        <v/>
      </c>
      <c r="I473" s="41"/>
      <c r="J473" s="41"/>
    </row>
    <row r="474" customFormat="false" ht="18" hidden="false" customHeight="true" outlineLevel="0" collapsed="false">
      <c r="B474" s="42"/>
      <c r="C474" s="43" t="str">
        <f aca="false">IF(B474="","",TEXT(B474,"DDD"))</f>
        <v/>
      </c>
      <c r="D474" s="13"/>
      <c r="E474" s="13"/>
      <c r="F474" s="14"/>
      <c r="G474" s="17" t="str">
        <f aca="false">IF(D474="","",IFERROR(VLOOKUP(D474,'📦 INVENTORY'!B:J,9,0),""))</f>
        <v/>
      </c>
      <c r="H474" s="44" t="str">
        <f aca="false">IF(OR(F474="",G474=""),"",F474*G474)</f>
        <v/>
      </c>
      <c r="I474" s="43"/>
      <c r="J474" s="43"/>
    </row>
    <row r="475" customFormat="false" ht="18" hidden="false" customHeight="true" outlineLevel="0" collapsed="false">
      <c r="B475" s="40"/>
      <c r="C475" s="41" t="str">
        <f aca="false">IF(B475="","",TEXT(B475,"DDD"))</f>
        <v/>
      </c>
      <c r="D475" s="10"/>
      <c r="E475" s="10"/>
      <c r="F475" s="11"/>
      <c r="G475" s="18" t="str">
        <f aca="false">IF(D475="","",IFERROR(VLOOKUP(D475,'📦 INVENTORY'!B:J,9,0),""))</f>
        <v/>
      </c>
      <c r="H475" s="35" t="str">
        <f aca="false">IF(OR(F475="",G475=""),"",F475*G475)</f>
        <v/>
      </c>
      <c r="I475" s="41"/>
      <c r="J475" s="41"/>
    </row>
    <row r="476" customFormat="false" ht="18" hidden="false" customHeight="true" outlineLevel="0" collapsed="false">
      <c r="B476" s="42"/>
      <c r="C476" s="43" t="str">
        <f aca="false">IF(B476="","",TEXT(B476,"DDD"))</f>
        <v/>
      </c>
      <c r="D476" s="13"/>
      <c r="E476" s="13"/>
      <c r="F476" s="14"/>
      <c r="G476" s="17" t="str">
        <f aca="false">IF(D476="","",IFERROR(VLOOKUP(D476,'📦 INVENTORY'!B:J,9,0),""))</f>
        <v/>
      </c>
      <c r="H476" s="44" t="str">
        <f aca="false">IF(OR(F476="",G476=""),"",F476*G476)</f>
        <v/>
      </c>
      <c r="I476" s="43"/>
      <c r="J476" s="43"/>
    </row>
    <row r="477" customFormat="false" ht="18" hidden="false" customHeight="true" outlineLevel="0" collapsed="false">
      <c r="B477" s="40"/>
      <c r="C477" s="41" t="str">
        <f aca="false">IF(B477="","",TEXT(B477,"DDD"))</f>
        <v/>
      </c>
      <c r="D477" s="10"/>
      <c r="E477" s="10"/>
      <c r="F477" s="11"/>
      <c r="G477" s="18" t="str">
        <f aca="false">IF(D477="","",IFERROR(VLOOKUP(D477,'📦 INVENTORY'!B:J,9,0),""))</f>
        <v/>
      </c>
      <c r="H477" s="35" t="str">
        <f aca="false">IF(OR(F477="",G477=""),"",F477*G477)</f>
        <v/>
      </c>
      <c r="I477" s="41"/>
      <c r="J477" s="41"/>
    </row>
    <row r="478" customFormat="false" ht="18" hidden="false" customHeight="true" outlineLevel="0" collapsed="false">
      <c r="B478" s="42"/>
      <c r="C478" s="43" t="str">
        <f aca="false">IF(B478="","",TEXT(B478,"DDD"))</f>
        <v/>
      </c>
      <c r="D478" s="13"/>
      <c r="E478" s="13"/>
      <c r="F478" s="14"/>
      <c r="G478" s="17" t="str">
        <f aca="false">IF(D478="","",IFERROR(VLOOKUP(D478,'📦 INVENTORY'!B:J,9,0),""))</f>
        <v/>
      </c>
      <c r="H478" s="44" t="str">
        <f aca="false">IF(OR(F478="",G478=""),"",F478*G478)</f>
        <v/>
      </c>
      <c r="I478" s="43"/>
      <c r="J478" s="43"/>
    </row>
    <row r="479" customFormat="false" ht="18" hidden="false" customHeight="true" outlineLevel="0" collapsed="false">
      <c r="B479" s="40"/>
      <c r="C479" s="41" t="str">
        <f aca="false">IF(B479="","",TEXT(B479,"DDD"))</f>
        <v/>
      </c>
      <c r="D479" s="10"/>
      <c r="E479" s="10"/>
      <c r="F479" s="11"/>
      <c r="G479" s="18" t="str">
        <f aca="false">IF(D479="","",IFERROR(VLOOKUP(D479,'📦 INVENTORY'!B:J,9,0),""))</f>
        <v/>
      </c>
      <c r="H479" s="35" t="str">
        <f aca="false">IF(OR(F479="",G479=""),"",F479*G479)</f>
        <v/>
      </c>
      <c r="I479" s="41"/>
      <c r="J479" s="41"/>
    </row>
    <row r="480" customFormat="false" ht="18" hidden="false" customHeight="true" outlineLevel="0" collapsed="false">
      <c r="B480" s="42"/>
      <c r="C480" s="43" t="str">
        <f aca="false">IF(B480="","",TEXT(B480,"DDD"))</f>
        <v/>
      </c>
      <c r="D480" s="13"/>
      <c r="E480" s="13"/>
      <c r="F480" s="14"/>
      <c r="G480" s="17" t="str">
        <f aca="false">IF(D480="","",IFERROR(VLOOKUP(D480,'📦 INVENTORY'!B:J,9,0),""))</f>
        <v/>
      </c>
      <c r="H480" s="44" t="str">
        <f aca="false">IF(OR(F480="",G480=""),"",F480*G480)</f>
        <v/>
      </c>
      <c r="I480" s="43"/>
      <c r="J480" s="43"/>
    </row>
    <row r="481" customFormat="false" ht="18" hidden="false" customHeight="true" outlineLevel="0" collapsed="false">
      <c r="B481" s="40"/>
      <c r="C481" s="41" t="str">
        <f aca="false">IF(B481="","",TEXT(B481,"DDD"))</f>
        <v/>
      </c>
      <c r="D481" s="10"/>
      <c r="E481" s="10"/>
      <c r="F481" s="11"/>
      <c r="G481" s="18" t="str">
        <f aca="false">IF(D481="","",IFERROR(VLOOKUP(D481,'📦 INVENTORY'!B:J,9,0),""))</f>
        <v/>
      </c>
      <c r="H481" s="35" t="str">
        <f aca="false">IF(OR(F481="",G481=""),"",F481*G481)</f>
        <v/>
      </c>
      <c r="I481" s="41"/>
      <c r="J481" s="41"/>
    </row>
    <row r="482" customFormat="false" ht="18" hidden="false" customHeight="true" outlineLevel="0" collapsed="false">
      <c r="B482" s="42"/>
      <c r="C482" s="43" t="str">
        <f aca="false">IF(B482="","",TEXT(B482,"DDD"))</f>
        <v/>
      </c>
      <c r="D482" s="13"/>
      <c r="E482" s="13"/>
      <c r="F482" s="14"/>
      <c r="G482" s="17" t="str">
        <f aca="false">IF(D482="","",IFERROR(VLOOKUP(D482,'📦 INVENTORY'!B:J,9,0),""))</f>
        <v/>
      </c>
      <c r="H482" s="44" t="str">
        <f aca="false">IF(OR(F482="",G482=""),"",F482*G482)</f>
        <v/>
      </c>
      <c r="I482" s="43"/>
      <c r="J482" s="43"/>
    </row>
    <row r="483" customFormat="false" ht="18" hidden="false" customHeight="true" outlineLevel="0" collapsed="false">
      <c r="B483" s="40"/>
      <c r="C483" s="41" t="str">
        <f aca="false">IF(B483="","",TEXT(B483,"DDD"))</f>
        <v/>
      </c>
      <c r="D483" s="10"/>
      <c r="E483" s="10"/>
      <c r="F483" s="11"/>
      <c r="G483" s="18" t="str">
        <f aca="false">IF(D483="","",IFERROR(VLOOKUP(D483,'📦 INVENTORY'!B:J,9,0),""))</f>
        <v/>
      </c>
      <c r="H483" s="35" t="str">
        <f aca="false">IF(OR(F483="",G483=""),"",F483*G483)</f>
        <v/>
      </c>
      <c r="I483" s="41"/>
      <c r="J483" s="41"/>
    </row>
    <row r="484" customFormat="false" ht="18" hidden="false" customHeight="true" outlineLevel="0" collapsed="false">
      <c r="B484" s="42"/>
      <c r="C484" s="43" t="str">
        <f aca="false">IF(B484="","",TEXT(B484,"DDD"))</f>
        <v/>
      </c>
      <c r="D484" s="13"/>
      <c r="E484" s="13"/>
      <c r="F484" s="14"/>
      <c r="G484" s="17" t="str">
        <f aca="false">IF(D484="","",IFERROR(VLOOKUP(D484,'📦 INVENTORY'!B:J,9,0),""))</f>
        <v/>
      </c>
      <c r="H484" s="44" t="str">
        <f aca="false">IF(OR(F484="",G484=""),"",F484*G484)</f>
        <v/>
      </c>
      <c r="I484" s="43"/>
      <c r="J484" s="43"/>
    </row>
    <row r="485" customFormat="false" ht="18" hidden="false" customHeight="true" outlineLevel="0" collapsed="false">
      <c r="B485" s="40"/>
      <c r="C485" s="41" t="str">
        <f aca="false">IF(B485="","",TEXT(B485,"DDD"))</f>
        <v/>
      </c>
      <c r="D485" s="10"/>
      <c r="E485" s="10"/>
      <c r="F485" s="11"/>
      <c r="G485" s="18" t="str">
        <f aca="false">IF(D485="","",IFERROR(VLOOKUP(D485,'📦 INVENTORY'!B:J,9,0),""))</f>
        <v/>
      </c>
      <c r="H485" s="35" t="str">
        <f aca="false">IF(OR(F485="",G485=""),"",F485*G485)</f>
        <v/>
      </c>
      <c r="I485" s="41"/>
      <c r="J485" s="41"/>
    </row>
    <row r="486" customFormat="false" ht="18" hidden="false" customHeight="true" outlineLevel="0" collapsed="false">
      <c r="B486" s="42"/>
      <c r="C486" s="43" t="str">
        <f aca="false">IF(B486="","",TEXT(B486,"DDD"))</f>
        <v/>
      </c>
      <c r="D486" s="13"/>
      <c r="E486" s="13"/>
      <c r="F486" s="14"/>
      <c r="G486" s="17" t="str">
        <f aca="false">IF(D486="","",IFERROR(VLOOKUP(D486,'📦 INVENTORY'!B:J,9,0),""))</f>
        <v/>
      </c>
      <c r="H486" s="44" t="str">
        <f aca="false">IF(OR(F486="",G486=""),"",F486*G486)</f>
        <v/>
      </c>
      <c r="I486" s="43"/>
      <c r="J486" s="43"/>
    </row>
    <row r="487" customFormat="false" ht="18" hidden="false" customHeight="true" outlineLevel="0" collapsed="false">
      <c r="B487" s="40"/>
      <c r="C487" s="41" t="str">
        <f aca="false">IF(B487="","",TEXT(B487,"DDD"))</f>
        <v/>
      </c>
      <c r="D487" s="10"/>
      <c r="E487" s="10"/>
      <c r="F487" s="11"/>
      <c r="G487" s="18" t="str">
        <f aca="false">IF(D487="","",IFERROR(VLOOKUP(D487,'📦 INVENTORY'!B:J,9,0),""))</f>
        <v/>
      </c>
      <c r="H487" s="35" t="str">
        <f aca="false">IF(OR(F487="",G487=""),"",F487*G487)</f>
        <v/>
      </c>
      <c r="I487" s="41"/>
      <c r="J487" s="41"/>
    </row>
    <row r="488" customFormat="false" ht="18" hidden="false" customHeight="true" outlineLevel="0" collapsed="false">
      <c r="B488" s="42"/>
      <c r="C488" s="43" t="str">
        <f aca="false">IF(B488="","",TEXT(B488,"DDD"))</f>
        <v/>
      </c>
      <c r="D488" s="13"/>
      <c r="E488" s="13"/>
      <c r="F488" s="14"/>
      <c r="G488" s="17" t="str">
        <f aca="false">IF(D488="","",IFERROR(VLOOKUP(D488,'📦 INVENTORY'!B:J,9,0),""))</f>
        <v/>
      </c>
      <c r="H488" s="44" t="str">
        <f aca="false">IF(OR(F488="",G488=""),"",F488*G488)</f>
        <v/>
      </c>
      <c r="I488" s="43"/>
      <c r="J488" s="43"/>
    </row>
    <row r="489" customFormat="false" ht="18" hidden="false" customHeight="true" outlineLevel="0" collapsed="false">
      <c r="B489" s="40"/>
      <c r="C489" s="41" t="str">
        <f aca="false">IF(B489="","",TEXT(B489,"DDD"))</f>
        <v/>
      </c>
      <c r="D489" s="10"/>
      <c r="E489" s="10"/>
      <c r="F489" s="11"/>
      <c r="G489" s="18" t="str">
        <f aca="false">IF(D489="","",IFERROR(VLOOKUP(D489,'📦 INVENTORY'!B:J,9,0),""))</f>
        <v/>
      </c>
      <c r="H489" s="35" t="str">
        <f aca="false">IF(OR(F489="",G489=""),"",F489*G489)</f>
        <v/>
      </c>
      <c r="I489" s="41"/>
      <c r="J489" s="41"/>
    </row>
    <row r="490" customFormat="false" ht="18" hidden="false" customHeight="true" outlineLevel="0" collapsed="false">
      <c r="B490" s="42"/>
      <c r="C490" s="43" t="str">
        <f aca="false">IF(B490="","",TEXT(B490,"DDD"))</f>
        <v/>
      </c>
      <c r="D490" s="13"/>
      <c r="E490" s="13"/>
      <c r="F490" s="14"/>
      <c r="G490" s="17" t="str">
        <f aca="false">IF(D490="","",IFERROR(VLOOKUP(D490,'📦 INVENTORY'!B:J,9,0),""))</f>
        <v/>
      </c>
      <c r="H490" s="44" t="str">
        <f aca="false">IF(OR(F490="",G490=""),"",F490*G490)</f>
        <v/>
      </c>
      <c r="I490" s="43"/>
      <c r="J490" s="43"/>
    </row>
    <row r="491" customFormat="false" ht="18" hidden="false" customHeight="true" outlineLevel="0" collapsed="false">
      <c r="B491" s="40"/>
      <c r="C491" s="41" t="str">
        <f aca="false">IF(B491="","",TEXT(B491,"DDD"))</f>
        <v/>
      </c>
      <c r="D491" s="10"/>
      <c r="E491" s="10"/>
      <c r="F491" s="11"/>
      <c r="G491" s="18" t="str">
        <f aca="false">IF(D491="","",IFERROR(VLOOKUP(D491,'📦 INVENTORY'!B:J,9,0),""))</f>
        <v/>
      </c>
      <c r="H491" s="35" t="str">
        <f aca="false">IF(OR(F491="",G491=""),"",F491*G491)</f>
        <v/>
      </c>
      <c r="I491" s="41"/>
      <c r="J491" s="41"/>
    </row>
    <row r="492" customFormat="false" ht="18" hidden="false" customHeight="true" outlineLevel="0" collapsed="false">
      <c r="B492" s="42"/>
      <c r="C492" s="43" t="str">
        <f aca="false">IF(B492="","",TEXT(B492,"DDD"))</f>
        <v/>
      </c>
      <c r="D492" s="13"/>
      <c r="E492" s="13"/>
      <c r="F492" s="14"/>
      <c r="G492" s="17" t="str">
        <f aca="false">IF(D492="","",IFERROR(VLOOKUP(D492,'📦 INVENTORY'!B:J,9,0),""))</f>
        <v/>
      </c>
      <c r="H492" s="44" t="str">
        <f aca="false">IF(OR(F492="",G492=""),"",F492*G492)</f>
        <v/>
      </c>
      <c r="I492" s="43"/>
      <c r="J492" s="43"/>
    </row>
    <row r="493" customFormat="false" ht="18" hidden="false" customHeight="true" outlineLevel="0" collapsed="false">
      <c r="B493" s="40"/>
      <c r="C493" s="41" t="str">
        <f aca="false">IF(B493="","",TEXT(B493,"DDD"))</f>
        <v/>
      </c>
      <c r="D493" s="10"/>
      <c r="E493" s="10"/>
      <c r="F493" s="11"/>
      <c r="G493" s="18" t="str">
        <f aca="false">IF(D493="","",IFERROR(VLOOKUP(D493,'📦 INVENTORY'!B:J,9,0),""))</f>
        <v/>
      </c>
      <c r="H493" s="35" t="str">
        <f aca="false">IF(OR(F493="",G493=""),"",F493*G493)</f>
        <v/>
      </c>
      <c r="I493" s="41"/>
      <c r="J493" s="41"/>
    </row>
    <row r="494" customFormat="false" ht="18" hidden="false" customHeight="true" outlineLevel="0" collapsed="false">
      <c r="B494" s="42"/>
      <c r="C494" s="43" t="str">
        <f aca="false">IF(B494="","",TEXT(B494,"DDD"))</f>
        <v/>
      </c>
      <c r="D494" s="13"/>
      <c r="E494" s="13"/>
      <c r="F494" s="14"/>
      <c r="G494" s="17" t="str">
        <f aca="false">IF(D494="","",IFERROR(VLOOKUP(D494,'📦 INVENTORY'!B:J,9,0),""))</f>
        <v/>
      </c>
      <c r="H494" s="44" t="str">
        <f aca="false">IF(OR(F494="",G494=""),"",F494*G494)</f>
        <v/>
      </c>
      <c r="I494" s="43"/>
      <c r="J494" s="43"/>
    </row>
    <row r="495" customFormat="false" ht="18" hidden="false" customHeight="true" outlineLevel="0" collapsed="false">
      <c r="B495" s="40"/>
      <c r="C495" s="41" t="str">
        <f aca="false">IF(B495="","",TEXT(B495,"DDD"))</f>
        <v/>
      </c>
      <c r="D495" s="10"/>
      <c r="E495" s="10"/>
      <c r="F495" s="11"/>
      <c r="G495" s="18" t="str">
        <f aca="false">IF(D495="","",IFERROR(VLOOKUP(D495,'📦 INVENTORY'!B:J,9,0),""))</f>
        <v/>
      </c>
      <c r="H495" s="35" t="str">
        <f aca="false">IF(OR(F495="",G495=""),"",F495*G495)</f>
        <v/>
      </c>
      <c r="I495" s="41"/>
      <c r="J495" s="41"/>
    </row>
    <row r="496" customFormat="false" ht="18" hidden="false" customHeight="true" outlineLevel="0" collapsed="false">
      <c r="B496" s="42"/>
      <c r="C496" s="43" t="str">
        <f aca="false">IF(B496="","",TEXT(B496,"DDD"))</f>
        <v/>
      </c>
      <c r="D496" s="13"/>
      <c r="E496" s="13"/>
      <c r="F496" s="14"/>
      <c r="G496" s="17" t="str">
        <f aca="false">IF(D496="","",IFERROR(VLOOKUP(D496,'📦 INVENTORY'!B:J,9,0),""))</f>
        <v/>
      </c>
      <c r="H496" s="44" t="str">
        <f aca="false">IF(OR(F496="",G496=""),"",F496*G496)</f>
        <v/>
      </c>
      <c r="I496" s="43"/>
      <c r="J496" s="43"/>
    </row>
    <row r="497" customFormat="false" ht="18" hidden="false" customHeight="true" outlineLevel="0" collapsed="false">
      <c r="B497" s="40"/>
      <c r="C497" s="41" t="str">
        <f aca="false">IF(B497="","",TEXT(B497,"DDD"))</f>
        <v/>
      </c>
      <c r="D497" s="10"/>
      <c r="E497" s="10"/>
      <c r="F497" s="11"/>
      <c r="G497" s="18" t="str">
        <f aca="false">IF(D497="","",IFERROR(VLOOKUP(D497,'📦 INVENTORY'!B:J,9,0),""))</f>
        <v/>
      </c>
      <c r="H497" s="35" t="str">
        <f aca="false">IF(OR(F497="",G497=""),"",F497*G497)</f>
        <v/>
      </c>
      <c r="I497" s="41"/>
      <c r="J497" s="41"/>
    </row>
    <row r="498" customFormat="false" ht="18" hidden="false" customHeight="true" outlineLevel="0" collapsed="false">
      <c r="B498" s="42"/>
      <c r="C498" s="43" t="str">
        <f aca="false">IF(B498="","",TEXT(B498,"DDD"))</f>
        <v/>
      </c>
      <c r="D498" s="13"/>
      <c r="E498" s="13"/>
      <c r="F498" s="14"/>
      <c r="G498" s="17" t="str">
        <f aca="false">IF(D498="","",IFERROR(VLOOKUP(D498,'📦 INVENTORY'!B:J,9,0),""))</f>
        <v/>
      </c>
      <c r="H498" s="44" t="str">
        <f aca="false">IF(OR(F498="",G498=""),"",F498*G498)</f>
        <v/>
      </c>
      <c r="I498" s="43"/>
      <c r="J498" s="43"/>
    </row>
    <row r="499" customFormat="false" ht="18" hidden="false" customHeight="true" outlineLevel="0" collapsed="false">
      <c r="B499" s="40"/>
      <c r="C499" s="41" t="str">
        <f aca="false">IF(B499="","",TEXT(B499,"DDD"))</f>
        <v/>
      </c>
      <c r="D499" s="10"/>
      <c r="E499" s="10"/>
      <c r="F499" s="11"/>
      <c r="G499" s="18" t="str">
        <f aca="false">IF(D499="","",IFERROR(VLOOKUP(D499,'📦 INVENTORY'!B:J,9,0),""))</f>
        <v/>
      </c>
      <c r="H499" s="35" t="str">
        <f aca="false">IF(OR(F499="",G499=""),"",F499*G499)</f>
        <v/>
      </c>
      <c r="I499" s="41"/>
      <c r="J499" s="41"/>
    </row>
    <row r="500" customFormat="false" ht="18" hidden="false" customHeight="true" outlineLevel="0" collapsed="false">
      <c r="B500" s="42"/>
      <c r="C500" s="43" t="str">
        <f aca="false">IF(B500="","",TEXT(B500,"DDD"))</f>
        <v/>
      </c>
      <c r="D500" s="13"/>
      <c r="E500" s="13"/>
      <c r="F500" s="14"/>
      <c r="G500" s="17" t="str">
        <f aca="false">IF(D500="","",IFERROR(VLOOKUP(D500,'📦 INVENTORY'!B:J,9,0),""))</f>
        <v/>
      </c>
      <c r="H500" s="44" t="str">
        <f aca="false">IF(OR(F500="",G500=""),"",F500*G500)</f>
        <v/>
      </c>
      <c r="I500" s="43"/>
      <c r="J500" s="43"/>
    </row>
    <row r="501" customFormat="false" ht="18" hidden="false" customHeight="true" outlineLevel="0" collapsed="false">
      <c r="B501" s="40"/>
      <c r="C501" s="41" t="str">
        <f aca="false">IF(B501="","",TEXT(B501,"DDD"))</f>
        <v/>
      </c>
      <c r="D501" s="10"/>
      <c r="E501" s="10"/>
      <c r="F501" s="11"/>
      <c r="G501" s="18" t="str">
        <f aca="false">IF(D501="","",IFERROR(VLOOKUP(D501,'📦 INVENTORY'!B:J,9,0),""))</f>
        <v/>
      </c>
      <c r="H501" s="35" t="str">
        <f aca="false">IF(OR(F501="",G501=""),"",F501*G501)</f>
        <v/>
      </c>
      <c r="I501" s="41"/>
      <c r="J501" s="41"/>
    </row>
    <row r="502" customFormat="false" ht="18" hidden="false" customHeight="true" outlineLevel="0" collapsed="false">
      <c r="B502" s="42"/>
      <c r="C502" s="43" t="str">
        <f aca="false">IF(B502="","",TEXT(B502,"DDD"))</f>
        <v/>
      </c>
      <c r="D502" s="13"/>
      <c r="E502" s="13"/>
      <c r="F502" s="14"/>
      <c r="G502" s="17" t="str">
        <f aca="false">IF(D502="","",IFERROR(VLOOKUP(D502,'📦 INVENTORY'!B:J,9,0),""))</f>
        <v/>
      </c>
      <c r="H502" s="44" t="str">
        <f aca="false">IF(OR(F502="",G502=""),"",F502*G502)</f>
        <v/>
      </c>
      <c r="I502" s="43"/>
      <c r="J502" s="43"/>
    </row>
    <row r="504" customFormat="false" ht="24" hidden="false" customHeight="true" outlineLevel="0" collapsed="false">
      <c r="B504" s="45" t="s">
        <v>55</v>
      </c>
      <c r="C504" s="45"/>
      <c r="D504" s="45"/>
      <c r="E504" s="45"/>
      <c r="F504" s="45"/>
      <c r="G504" s="45"/>
      <c r="H504" s="45"/>
      <c r="I504" s="45"/>
      <c r="J504" s="45"/>
    </row>
    <row r="505" customFormat="false" ht="19.5" hidden="false" customHeight="true" outlineLevel="0" collapsed="false">
      <c r="B505" s="46" t="s">
        <v>56</v>
      </c>
      <c r="C505" s="46"/>
      <c r="D505" s="46"/>
      <c r="E505" s="46"/>
      <c r="F505" s="46"/>
      <c r="G505" s="47" t="n">
        <f aca="false">SUM(H3:H502)</f>
        <v>0</v>
      </c>
      <c r="H505" s="47"/>
      <c r="I505" s="47"/>
      <c r="J505" s="47"/>
    </row>
    <row r="506" customFormat="false" ht="19.5" hidden="false" customHeight="true" outlineLevel="0" collapsed="false">
      <c r="B506" s="48" t="s">
        <v>57</v>
      </c>
      <c r="C506" s="48"/>
      <c r="D506" s="48"/>
      <c r="E506" s="48"/>
      <c r="F506" s="48"/>
      <c r="G506" s="49" t="n">
        <f aca="false">SUM(F3:F502)</f>
        <v>0</v>
      </c>
      <c r="H506" s="49"/>
      <c r="I506" s="49"/>
      <c r="J506" s="49"/>
    </row>
    <row r="507" customFormat="false" ht="19.5" hidden="false" customHeight="true" outlineLevel="0" collapsed="false">
      <c r="B507" s="46" t="s">
        <v>58</v>
      </c>
      <c r="C507" s="46"/>
      <c r="D507" s="46"/>
      <c r="E507" s="46"/>
      <c r="F507" s="46"/>
      <c r="G507" s="47" t="n">
        <f aca="true">SUMIF(B3:B502,TODAY(),H3:H502)</f>
        <v>0</v>
      </c>
      <c r="H507" s="47"/>
      <c r="I507" s="47"/>
      <c r="J507" s="47"/>
    </row>
    <row r="508" customFormat="false" ht="19.5" hidden="false" customHeight="true" outlineLevel="0" collapsed="false">
      <c r="B508" s="48" t="s">
        <v>59</v>
      </c>
      <c r="C508" s="48"/>
      <c r="D508" s="48"/>
      <c r="E508" s="48"/>
      <c r="F508" s="48"/>
      <c r="G508" s="50" t="n">
        <f aca="true">SUMPRODUCT((MONTH(B3:B502)=MONTH(TODAY()))*(YEAR(B3:B502)=YEAR(TODAY())),IF(ISNUMBER(H3:H502),H3:H502,0))</f>
        <v>0</v>
      </c>
      <c r="H508" s="50"/>
      <c r="I508" s="50"/>
      <c r="J508" s="50"/>
    </row>
    <row r="509" customFormat="false" ht="19.5" hidden="false" customHeight="true" outlineLevel="0" collapsed="false">
      <c r="B509" s="46" t="s">
        <v>60</v>
      </c>
      <c r="C509" s="46"/>
      <c r="D509" s="46"/>
      <c r="E509" s="46"/>
      <c r="F509" s="46"/>
      <c r="G509" s="47" t="n">
        <f aca="true">SUMPRODUCT((B3:B502=TODAY())*(I3:I502="Cash"),IF(ISNUMBER(H3:H502),H3:H502,0))</f>
        <v>0</v>
      </c>
      <c r="H509" s="47"/>
      <c r="I509" s="47"/>
      <c r="J509" s="47"/>
    </row>
    <row r="510" customFormat="false" ht="19.5" hidden="false" customHeight="true" outlineLevel="0" collapsed="false">
      <c r="B510" s="48" t="s">
        <v>61</v>
      </c>
      <c r="C510" s="48"/>
      <c r="D510" s="48"/>
      <c r="E510" s="48"/>
      <c r="F510" s="48"/>
      <c r="G510" s="50" t="n">
        <f aca="true">SUMPRODUCT((B3:B502=TODAY())*(I3:I502="POS"),IF(ISNUMBER(H3:H502),H3:H502,0))</f>
        <v>0</v>
      </c>
      <c r="H510" s="50"/>
      <c r="I510" s="50"/>
      <c r="J510" s="50"/>
    </row>
    <row r="511" customFormat="false" ht="19.5" hidden="false" customHeight="true" outlineLevel="0" collapsed="false">
      <c r="B511" s="46" t="s">
        <v>62</v>
      </c>
      <c r="C511" s="46"/>
      <c r="D511" s="46"/>
      <c r="E511" s="46"/>
      <c r="F511" s="46"/>
      <c r="G511" s="47" t="n">
        <f aca="true">SUMPRODUCT((B3:B502=TODAY())*(I3:I502="Transfer"),IF(ISNUMBER(H3:H502),H3:H502,0))</f>
        <v>0</v>
      </c>
      <c r="H511" s="47"/>
      <c r="I511" s="47"/>
      <c r="J511" s="47"/>
    </row>
  </sheetData>
  <mergeCells count="16">
    <mergeCell ref="B1:J1"/>
    <mergeCell ref="B504:J504"/>
    <mergeCell ref="B505:F505"/>
    <mergeCell ref="G505:J505"/>
    <mergeCell ref="B506:F506"/>
    <mergeCell ref="G506:J506"/>
    <mergeCell ref="B507:F507"/>
    <mergeCell ref="G507:J507"/>
    <mergeCell ref="B508:F508"/>
    <mergeCell ref="G508:J508"/>
    <mergeCell ref="B509:F509"/>
    <mergeCell ref="G509:J509"/>
    <mergeCell ref="B510:F510"/>
    <mergeCell ref="G510:J510"/>
    <mergeCell ref="B511:F511"/>
    <mergeCell ref="G511:J511"/>
  </mergeCells>
  <dataValidations count="2">
    <dataValidation allowBlank="false" error="Please select a product from the list." errorStyle="stop" errorTitle="Invalid Product" operator="between" showDropDown="false" showErrorMessage="true" showInputMessage="false" sqref="D3:D502" type="list">
      <formula1>"EarPods,Button Phone,Memory Card,Charger,Tripod Stand,Selfie Stick,Cables,Ringlight,Speakers,Wireless Mic,Mouse,Powerbanks,Smartwatch"</formula1>
      <formula2>0</formula2>
    </dataValidation>
    <dataValidation allowBlank="false" errorStyle="stop" operator="between" showDropDown="false" showErrorMessage="true" showInputMessage="false" sqref="I3:I502" type="list">
      <formula1>"Cash,POS,Transfer"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640A"/>
    <pageSetUpPr fitToPage="false"/>
  </sheetPr>
  <dimension ref="B1:I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7" min="7" style="1" width="20"/>
    <col collapsed="false" customWidth="true" hidden="false" outlineLevel="0" max="9" min="8" style="1" width="22"/>
    <col collapsed="false" customWidth="true" hidden="false" outlineLevel="0" max="10" min="10" style="1" width="4"/>
  </cols>
  <sheetData>
    <row r="1" customFormat="false" ht="31.5" hidden="false" customHeight="true" outlineLevel="0" collapsed="false">
      <c r="B1" s="21" t="s">
        <v>63</v>
      </c>
      <c r="C1" s="21"/>
      <c r="D1" s="21"/>
      <c r="E1" s="21"/>
      <c r="F1" s="21"/>
      <c r="G1" s="21"/>
      <c r="H1" s="21"/>
      <c r="I1" s="21"/>
    </row>
    <row r="2" customFormat="false" ht="36" hidden="false" customHeight="true" outlineLevel="0" collapsed="false">
      <c r="B2" s="51" t="s">
        <v>47</v>
      </c>
      <c r="C2" s="51" t="s">
        <v>6</v>
      </c>
      <c r="D2" s="51" t="s">
        <v>64</v>
      </c>
      <c r="E2" s="51" t="s">
        <v>65</v>
      </c>
      <c r="F2" s="51" t="s">
        <v>66</v>
      </c>
      <c r="G2" s="51" t="s">
        <v>67</v>
      </c>
      <c r="H2" s="51" t="s">
        <v>68</v>
      </c>
      <c r="I2" s="51" t="s">
        <v>69</v>
      </c>
    </row>
    <row r="3" customFormat="false" ht="18" hidden="false" customHeight="true" outlineLevel="0" collapsed="false">
      <c r="B3" s="40"/>
      <c r="C3" s="10"/>
      <c r="D3" s="11"/>
      <c r="E3" s="18"/>
      <c r="F3" s="35" t="str">
        <f aca="false">IF(OR(D3="",E3=""),"",D3*E3)</f>
        <v/>
      </c>
      <c r="G3" s="10"/>
      <c r="H3" s="41"/>
      <c r="I3" s="10"/>
    </row>
    <row r="4" customFormat="false" ht="18" hidden="false" customHeight="true" outlineLevel="0" collapsed="false">
      <c r="B4" s="42"/>
      <c r="C4" s="13"/>
      <c r="D4" s="14"/>
      <c r="E4" s="17"/>
      <c r="F4" s="44" t="str">
        <f aca="false">IF(OR(D4="",E4=""),"",D4*E4)</f>
        <v/>
      </c>
      <c r="G4" s="13"/>
      <c r="H4" s="43"/>
      <c r="I4" s="13"/>
    </row>
    <row r="5" customFormat="false" ht="18" hidden="false" customHeight="true" outlineLevel="0" collapsed="false">
      <c r="B5" s="40"/>
      <c r="C5" s="10"/>
      <c r="D5" s="11"/>
      <c r="E5" s="18"/>
      <c r="F5" s="35" t="str">
        <f aca="false">IF(OR(D5="",E5=""),"",D5*E5)</f>
        <v/>
      </c>
      <c r="G5" s="10"/>
      <c r="H5" s="41"/>
      <c r="I5" s="10"/>
    </row>
    <row r="6" customFormat="false" ht="18" hidden="false" customHeight="true" outlineLevel="0" collapsed="false">
      <c r="B6" s="42"/>
      <c r="C6" s="13"/>
      <c r="D6" s="14"/>
      <c r="E6" s="17"/>
      <c r="F6" s="44" t="str">
        <f aca="false">IF(OR(D6="",E6=""),"",D6*E6)</f>
        <v/>
      </c>
      <c r="G6" s="13"/>
      <c r="H6" s="43"/>
      <c r="I6" s="13"/>
    </row>
    <row r="7" customFormat="false" ht="18" hidden="false" customHeight="true" outlineLevel="0" collapsed="false">
      <c r="B7" s="40"/>
      <c r="C7" s="10"/>
      <c r="D7" s="11"/>
      <c r="E7" s="18"/>
      <c r="F7" s="35" t="str">
        <f aca="false">IF(OR(D7="",E7=""),"",D7*E7)</f>
        <v/>
      </c>
      <c r="G7" s="10"/>
      <c r="H7" s="41"/>
      <c r="I7" s="10"/>
    </row>
    <row r="8" customFormat="false" ht="18" hidden="false" customHeight="true" outlineLevel="0" collapsed="false">
      <c r="B8" s="42"/>
      <c r="C8" s="13"/>
      <c r="D8" s="14"/>
      <c r="E8" s="17"/>
      <c r="F8" s="44" t="str">
        <f aca="false">IF(OR(D8="",E8=""),"",D8*E8)</f>
        <v/>
      </c>
      <c r="G8" s="13"/>
      <c r="H8" s="43"/>
      <c r="I8" s="13"/>
    </row>
    <row r="9" customFormat="false" ht="18" hidden="false" customHeight="true" outlineLevel="0" collapsed="false">
      <c r="B9" s="40"/>
      <c r="C9" s="10"/>
      <c r="D9" s="11"/>
      <c r="E9" s="18"/>
      <c r="F9" s="35" t="str">
        <f aca="false">IF(OR(D9="",E9=""),"",D9*E9)</f>
        <v/>
      </c>
      <c r="G9" s="10"/>
      <c r="H9" s="41"/>
      <c r="I9" s="10"/>
    </row>
    <row r="10" customFormat="false" ht="18" hidden="false" customHeight="true" outlineLevel="0" collapsed="false">
      <c r="B10" s="42"/>
      <c r="C10" s="13"/>
      <c r="D10" s="14"/>
      <c r="E10" s="17"/>
      <c r="F10" s="44" t="str">
        <f aca="false">IF(OR(D10="",E10=""),"",D10*E10)</f>
        <v/>
      </c>
      <c r="G10" s="13"/>
      <c r="H10" s="43"/>
      <c r="I10" s="13"/>
    </row>
    <row r="11" customFormat="false" ht="18" hidden="false" customHeight="true" outlineLevel="0" collapsed="false">
      <c r="B11" s="40"/>
      <c r="C11" s="10"/>
      <c r="D11" s="11"/>
      <c r="E11" s="18"/>
      <c r="F11" s="35" t="str">
        <f aca="false">IF(OR(D11="",E11=""),"",D11*E11)</f>
        <v/>
      </c>
      <c r="G11" s="10"/>
      <c r="H11" s="41"/>
      <c r="I11" s="10"/>
    </row>
    <row r="12" customFormat="false" ht="18" hidden="false" customHeight="true" outlineLevel="0" collapsed="false">
      <c r="B12" s="42"/>
      <c r="C12" s="13"/>
      <c r="D12" s="14"/>
      <c r="E12" s="17"/>
      <c r="F12" s="44" t="str">
        <f aca="false">IF(OR(D12="",E12=""),"",D12*E12)</f>
        <v/>
      </c>
      <c r="G12" s="13"/>
      <c r="H12" s="43"/>
      <c r="I12" s="13"/>
    </row>
    <row r="13" customFormat="false" ht="18" hidden="false" customHeight="true" outlineLevel="0" collapsed="false">
      <c r="B13" s="40"/>
      <c r="C13" s="10"/>
      <c r="D13" s="11"/>
      <c r="E13" s="18"/>
      <c r="F13" s="35" t="str">
        <f aca="false">IF(OR(D13="",E13=""),"",D13*E13)</f>
        <v/>
      </c>
      <c r="G13" s="10"/>
      <c r="H13" s="41"/>
      <c r="I13" s="10"/>
    </row>
    <row r="14" customFormat="false" ht="18" hidden="false" customHeight="true" outlineLevel="0" collapsed="false">
      <c r="B14" s="42"/>
      <c r="C14" s="13"/>
      <c r="D14" s="14"/>
      <c r="E14" s="17"/>
      <c r="F14" s="44" t="str">
        <f aca="false">IF(OR(D14="",E14=""),"",D14*E14)</f>
        <v/>
      </c>
      <c r="G14" s="13"/>
      <c r="H14" s="43"/>
      <c r="I14" s="13"/>
    </row>
    <row r="15" customFormat="false" ht="18" hidden="false" customHeight="true" outlineLevel="0" collapsed="false">
      <c r="B15" s="40"/>
      <c r="C15" s="10"/>
      <c r="D15" s="11"/>
      <c r="E15" s="18"/>
      <c r="F15" s="35" t="str">
        <f aca="false">IF(OR(D15="",E15=""),"",D15*E15)</f>
        <v/>
      </c>
      <c r="G15" s="10"/>
      <c r="H15" s="41"/>
      <c r="I15" s="10"/>
    </row>
    <row r="16" customFormat="false" ht="18" hidden="false" customHeight="true" outlineLevel="0" collapsed="false">
      <c r="B16" s="42"/>
      <c r="C16" s="13"/>
      <c r="D16" s="14"/>
      <c r="E16" s="17"/>
      <c r="F16" s="44" t="str">
        <f aca="false">IF(OR(D16="",E16=""),"",D16*E16)</f>
        <v/>
      </c>
      <c r="G16" s="13"/>
      <c r="H16" s="43"/>
      <c r="I16" s="13"/>
    </row>
    <row r="17" customFormat="false" ht="18" hidden="false" customHeight="true" outlineLevel="0" collapsed="false">
      <c r="B17" s="40"/>
      <c r="C17" s="10"/>
      <c r="D17" s="11"/>
      <c r="E17" s="18"/>
      <c r="F17" s="35" t="str">
        <f aca="false">IF(OR(D17="",E17=""),"",D17*E17)</f>
        <v/>
      </c>
      <c r="G17" s="10"/>
      <c r="H17" s="41"/>
      <c r="I17" s="10"/>
    </row>
    <row r="18" customFormat="false" ht="18" hidden="false" customHeight="true" outlineLevel="0" collapsed="false">
      <c r="B18" s="42"/>
      <c r="C18" s="13"/>
      <c r="D18" s="14"/>
      <c r="E18" s="17"/>
      <c r="F18" s="44" t="str">
        <f aca="false">IF(OR(D18="",E18=""),"",D18*E18)</f>
        <v/>
      </c>
      <c r="G18" s="13"/>
      <c r="H18" s="43"/>
      <c r="I18" s="13"/>
    </row>
    <row r="19" customFormat="false" ht="18" hidden="false" customHeight="true" outlineLevel="0" collapsed="false">
      <c r="B19" s="40"/>
      <c r="C19" s="10"/>
      <c r="D19" s="11"/>
      <c r="E19" s="18"/>
      <c r="F19" s="35" t="str">
        <f aca="false">IF(OR(D19="",E19=""),"",D19*E19)</f>
        <v/>
      </c>
      <c r="G19" s="10"/>
      <c r="H19" s="41"/>
      <c r="I19" s="10"/>
    </row>
    <row r="20" customFormat="false" ht="18" hidden="false" customHeight="true" outlineLevel="0" collapsed="false">
      <c r="B20" s="42"/>
      <c r="C20" s="13"/>
      <c r="D20" s="14"/>
      <c r="E20" s="17"/>
      <c r="F20" s="44" t="str">
        <f aca="false">IF(OR(D20="",E20=""),"",D20*E20)</f>
        <v/>
      </c>
      <c r="G20" s="13"/>
      <c r="H20" s="43"/>
      <c r="I20" s="13"/>
    </row>
    <row r="21" customFormat="false" ht="18" hidden="false" customHeight="true" outlineLevel="0" collapsed="false">
      <c r="B21" s="40"/>
      <c r="C21" s="10"/>
      <c r="D21" s="11"/>
      <c r="E21" s="18"/>
      <c r="F21" s="35" t="str">
        <f aca="false">IF(OR(D21="",E21=""),"",D21*E21)</f>
        <v/>
      </c>
      <c r="G21" s="10"/>
      <c r="H21" s="41"/>
      <c r="I21" s="10"/>
    </row>
    <row r="22" customFormat="false" ht="18" hidden="false" customHeight="true" outlineLevel="0" collapsed="false">
      <c r="B22" s="42"/>
      <c r="C22" s="13"/>
      <c r="D22" s="14"/>
      <c r="E22" s="17"/>
      <c r="F22" s="44" t="str">
        <f aca="false">IF(OR(D22="",E22=""),"",D22*E22)</f>
        <v/>
      </c>
      <c r="G22" s="13"/>
      <c r="H22" s="43"/>
      <c r="I22" s="13"/>
    </row>
    <row r="23" customFormat="false" ht="18" hidden="false" customHeight="true" outlineLevel="0" collapsed="false">
      <c r="B23" s="40"/>
      <c r="C23" s="10"/>
      <c r="D23" s="11"/>
      <c r="E23" s="18"/>
      <c r="F23" s="35" t="str">
        <f aca="false">IF(OR(D23="",E23=""),"",D23*E23)</f>
        <v/>
      </c>
      <c r="G23" s="10"/>
      <c r="H23" s="41"/>
      <c r="I23" s="10"/>
    </row>
    <row r="24" customFormat="false" ht="18" hidden="false" customHeight="true" outlineLevel="0" collapsed="false">
      <c r="B24" s="42"/>
      <c r="C24" s="13"/>
      <c r="D24" s="14"/>
      <c r="E24" s="17"/>
      <c r="F24" s="44" t="str">
        <f aca="false">IF(OR(D24="",E24=""),"",D24*E24)</f>
        <v/>
      </c>
      <c r="G24" s="13"/>
      <c r="H24" s="43"/>
      <c r="I24" s="13"/>
    </row>
    <row r="25" customFormat="false" ht="18" hidden="false" customHeight="true" outlineLevel="0" collapsed="false">
      <c r="B25" s="40"/>
      <c r="C25" s="10"/>
      <c r="D25" s="11"/>
      <c r="E25" s="18"/>
      <c r="F25" s="35" t="str">
        <f aca="false">IF(OR(D25="",E25=""),"",D25*E25)</f>
        <v/>
      </c>
      <c r="G25" s="10"/>
      <c r="H25" s="41"/>
      <c r="I25" s="10"/>
    </row>
    <row r="26" customFormat="false" ht="18" hidden="false" customHeight="true" outlineLevel="0" collapsed="false">
      <c r="B26" s="42"/>
      <c r="C26" s="13"/>
      <c r="D26" s="14"/>
      <c r="E26" s="17"/>
      <c r="F26" s="44" t="str">
        <f aca="false">IF(OR(D26="",E26=""),"",D26*E26)</f>
        <v/>
      </c>
      <c r="G26" s="13"/>
      <c r="H26" s="43"/>
      <c r="I26" s="13"/>
    </row>
    <row r="27" customFormat="false" ht="18" hidden="false" customHeight="true" outlineLevel="0" collapsed="false">
      <c r="B27" s="40"/>
      <c r="C27" s="10"/>
      <c r="D27" s="11"/>
      <c r="E27" s="18"/>
      <c r="F27" s="35" t="str">
        <f aca="false">IF(OR(D27="",E27=""),"",D27*E27)</f>
        <v/>
      </c>
      <c r="G27" s="10"/>
      <c r="H27" s="41"/>
      <c r="I27" s="10"/>
    </row>
    <row r="28" customFormat="false" ht="18" hidden="false" customHeight="true" outlineLevel="0" collapsed="false">
      <c r="B28" s="42"/>
      <c r="C28" s="13"/>
      <c r="D28" s="14"/>
      <c r="E28" s="17"/>
      <c r="F28" s="44" t="str">
        <f aca="false">IF(OR(D28="",E28=""),"",D28*E28)</f>
        <v/>
      </c>
      <c r="G28" s="13"/>
      <c r="H28" s="43"/>
      <c r="I28" s="13"/>
    </row>
    <row r="29" customFormat="false" ht="18" hidden="false" customHeight="true" outlineLevel="0" collapsed="false">
      <c r="B29" s="40"/>
      <c r="C29" s="10"/>
      <c r="D29" s="11"/>
      <c r="E29" s="18"/>
      <c r="F29" s="35" t="str">
        <f aca="false">IF(OR(D29="",E29=""),"",D29*E29)</f>
        <v/>
      </c>
      <c r="G29" s="10"/>
      <c r="H29" s="41"/>
      <c r="I29" s="10"/>
    </row>
    <row r="30" customFormat="false" ht="18" hidden="false" customHeight="true" outlineLevel="0" collapsed="false">
      <c r="B30" s="42"/>
      <c r="C30" s="13"/>
      <c r="D30" s="14"/>
      <c r="E30" s="17"/>
      <c r="F30" s="44" t="str">
        <f aca="false">IF(OR(D30="",E30=""),"",D30*E30)</f>
        <v/>
      </c>
      <c r="G30" s="13"/>
      <c r="H30" s="43"/>
      <c r="I30" s="13"/>
    </row>
    <row r="31" customFormat="false" ht="18" hidden="false" customHeight="true" outlineLevel="0" collapsed="false">
      <c r="B31" s="40"/>
      <c r="C31" s="10"/>
      <c r="D31" s="11"/>
      <c r="E31" s="18"/>
      <c r="F31" s="35" t="str">
        <f aca="false">IF(OR(D31="",E31=""),"",D31*E31)</f>
        <v/>
      </c>
      <c r="G31" s="10"/>
      <c r="H31" s="41"/>
      <c r="I31" s="10"/>
    </row>
    <row r="32" customFormat="false" ht="18" hidden="false" customHeight="true" outlineLevel="0" collapsed="false">
      <c r="B32" s="42"/>
      <c r="C32" s="13"/>
      <c r="D32" s="14"/>
      <c r="E32" s="17"/>
      <c r="F32" s="44" t="str">
        <f aca="false">IF(OR(D32="",E32=""),"",D32*E32)</f>
        <v/>
      </c>
      <c r="G32" s="13"/>
      <c r="H32" s="43"/>
      <c r="I32" s="13"/>
    </row>
    <row r="33" customFormat="false" ht="18" hidden="false" customHeight="true" outlineLevel="0" collapsed="false">
      <c r="B33" s="40"/>
      <c r="C33" s="10"/>
      <c r="D33" s="11"/>
      <c r="E33" s="18"/>
      <c r="F33" s="35" t="str">
        <f aca="false">IF(OR(D33="",E33=""),"",D33*E33)</f>
        <v/>
      </c>
      <c r="G33" s="10"/>
      <c r="H33" s="41"/>
      <c r="I33" s="10"/>
    </row>
    <row r="34" customFormat="false" ht="18" hidden="false" customHeight="true" outlineLevel="0" collapsed="false">
      <c r="B34" s="42"/>
      <c r="C34" s="13"/>
      <c r="D34" s="14"/>
      <c r="E34" s="17"/>
      <c r="F34" s="44" t="str">
        <f aca="false">IF(OR(D34="",E34=""),"",D34*E34)</f>
        <v/>
      </c>
      <c r="G34" s="13"/>
      <c r="H34" s="43"/>
      <c r="I34" s="13"/>
    </row>
    <row r="35" customFormat="false" ht="18" hidden="false" customHeight="true" outlineLevel="0" collapsed="false">
      <c r="B35" s="40"/>
      <c r="C35" s="10"/>
      <c r="D35" s="11"/>
      <c r="E35" s="18"/>
      <c r="F35" s="35" t="str">
        <f aca="false">IF(OR(D35="",E35=""),"",D35*E35)</f>
        <v/>
      </c>
      <c r="G35" s="10"/>
      <c r="H35" s="41"/>
      <c r="I35" s="10"/>
    </row>
    <row r="36" customFormat="false" ht="18" hidden="false" customHeight="true" outlineLevel="0" collapsed="false">
      <c r="B36" s="42"/>
      <c r="C36" s="13"/>
      <c r="D36" s="14"/>
      <c r="E36" s="17"/>
      <c r="F36" s="44" t="str">
        <f aca="false">IF(OR(D36="",E36=""),"",D36*E36)</f>
        <v/>
      </c>
      <c r="G36" s="13"/>
      <c r="H36" s="43"/>
      <c r="I36" s="13"/>
    </row>
    <row r="37" customFormat="false" ht="18" hidden="false" customHeight="true" outlineLevel="0" collapsed="false">
      <c r="B37" s="40"/>
      <c r="C37" s="10"/>
      <c r="D37" s="11"/>
      <c r="E37" s="18"/>
      <c r="F37" s="35" t="str">
        <f aca="false">IF(OR(D37="",E37=""),"",D37*E37)</f>
        <v/>
      </c>
      <c r="G37" s="10"/>
      <c r="H37" s="41"/>
      <c r="I37" s="10"/>
    </row>
    <row r="38" customFormat="false" ht="18" hidden="false" customHeight="true" outlineLevel="0" collapsed="false">
      <c r="B38" s="42"/>
      <c r="C38" s="13"/>
      <c r="D38" s="14"/>
      <c r="E38" s="17"/>
      <c r="F38" s="44" t="str">
        <f aca="false">IF(OR(D38="",E38=""),"",D38*E38)</f>
        <v/>
      </c>
      <c r="G38" s="13"/>
      <c r="H38" s="43"/>
      <c r="I38" s="13"/>
    </row>
    <row r="39" customFormat="false" ht="18" hidden="false" customHeight="true" outlineLevel="0" collapsed="false">
      <c r="B39" s="40"/>
      <c r="C39" s="10"/>
      <c r="D39" s="11"/>
      <c r="E39" s="18"/>
      <c r="F39" s="35" t="str">
        <f aca="false">IF(OR(D39="",E39=""),"",D39*E39)</f>
        <v/>
      </c>
      <c r="G39" s="10"/>
      <c r="H39" s="41"/>
      <c r="I39" s="10"/>
    </row>
    <row r="40" customFormat="false" ht="18" hidden="false" customHeight="true" outlineLevel="0" collapsed="false">
      <c r="B40" s="42"/>
      <c r="C40" s="13"/>
      <c r="D40" s="14"/>
      <c r="E40" s="17"/>
      <c r="F40" s="44" t="str">
        <f aca="false">IF(OR(D40="",E40=""),"",D40*E40)</f>
        <v/>
      </c>
      <c r="G40" s="13"/>
      <c r="H40" s="43"/>
      <c r="I40" s="13"/>
    </row>
    <row r="41" customFormat="false" ht="18" hidden="false" customHeight="true" outlineLevel="0" collapsed="false">
      <c r="B41" s="40"/>
      <c r="C41" s="10"/>
      <c r="D41" s="11"/>
      <c r="E41" s="18"/>
      <c r="F41" s="35" t="str">
        <f aca="false">IF(OR(D41="",E41=""),"",D41*E41)</f>
        <v/>
      </c>
      <c r="G41" s="10"/>
      <c r="H41" s="41"/>
      <c r="I41" s="10"/>
    </row>
    <row r="42" customFormat="false" ht="18" hidden="false" customHeight="true" outlineLevel="0" collapsed="false">
      <c r="B42" s="42"/>
      <c r="C42" s="13"/>
      <c r="D42" s="14"/>
      <c r="E42" s="17"/>
      <c r="F42" s="44" t="str">
        <f aca="false">IF(OR(D42="",E42=""),"",D42*E42)</f>
        <v/>
      </c>
      <c r="G42" s="13"/>
      <c r="H42" s="43"/>
      <c r="I42" s="13"/>
    </row>
    <row r="43" customFormat="false" ht="18" hidden="false" customHeight="true" outlineLevel="0" collapsed="false">
      <c r="B43" s="40"/>
      <c r="C43" s="10"/>
      <c r="D43" s="11"/>
      <c r="E43" s="18"/>
      <c r="F43" s="35" t="str">
        <f aca="false">IF(OR(D43="",E43=""),"",D43*E43)</f>
        <v/>
      </c>
      <c r="G43" s="10"/>
      <c r="H43" s="41"/>
      <c r="I43" s="10"/>
    </row>
    <row r="44" customFormat="false" ht="18" hidden="false" customHeight="true" outlineLevel="0" collapsed="false">
      <c r="B44" s="42"/>
      <c r="C44" s="13"/>
      <c r="D44" s="14"/>
      <c r="E44" s="17"/>
      <c r="F44" s="44" t="str">
        <f aca="false">IF(OR(D44="",E44=""),"",D44*E44)</f>
        <v/>
      </c>
      <c r="G44" s="13"/>
      <c r="H44" s="43"/>
      <c r="I44" s="13"/>
    </row>
    <row r="45" customFormat="false" ht="18" hidden="false" customHeight="true" outlineLevel="0" collapsed="false">
      <c r="B45" s="40"/>
      <c r="C45" s="10"/>
      <c r="D45" s="11"/>
      <c r="E45" s="18"/>
      <c r="F45" s="35" t="str">
        <f aca="false">IF(OR(D45="",E45=""),"",D45*E45)</f>
        <v/>
      </c>
      <c r="G45" s="10"/>
      <c r="H45" s="41"/>
      <c r="I45" s="10"/>
    </row>
    <row r="46" customFormat="false" ht="18" hidden="false" customHeight="true" outlineLevel="0" collapsed="false">
      <c r="B46" s="42"/>
      <c r="C46" s="13"/>
      <c r="D46" s="14"/>
      <c r="E46" s="17"/>
      <c r="F46" s="44" t="str">
        <f aca="false">IF(OR(D46="",E46=""),"",D46*E46)</f>
        <v/>
      </c>
      <c r="G46" s="13"/>
      <c r="H46" s="43"/>
      <c r="I46" s="13"/>
    </row>
    <row r="47" customFormat="false" ht="18" hidden="false" customHeight="true" outlineLevel="0" collapsed="false">
      <c r="B47" s="40"/>
      <c r="C47" s="10"/>
      <c r="D47" s="11"/>
      <c r="E47" s="18"/>
      <c r="F47" s="35" t="str">
        <f aca="false">IF(OR(D47="",E47=""),"",D47*E47)</f>
        <v/>
      </c>
      <c r="G47" s="10"/>
      <c r="H47" s="41"/>
      <c r="I47" s="10"/>
    </row>
    <row r="48" customFormat="false" ht="18" hidden="false" customHeight="true" outlineLevel="0" collapsed="false">
      <c r="B48" s="42"/>
      <c r="C48" s="13"/>
      <c r="D48" s="14"/>
      <c r="E48" s="17"/>
      <c r="F48" s="44" t="str">
        <f aca="false">IF(OR(D48="",E48=""),"",D48*E48)</f>
        <v/>
      </c>
      <c r="G48" s="13"/>
      <c r="H48" s="43"/>
      <c r="I48" s="13"/>
    </row>
    <row r="49" customFormat="false" ht="18" hidden="false" customHeight="true" outlineLevel="0" collapsed="false">
      <c r="B49" s="40"/>
      <c r="C49" s="10"/>
      <c r="D49" s="11"/>
      <c r="E49" s="18"/>
      <c r="F49" s="35" t="str">
        <f aca="false">IF(OR(D49="",E49=""),"",D49*E49)</f>
        <v/>
      </c>
      <c r="G49" s="10"/>
      <c r="H49" s="41"/>
      <c r="I49" s="10"/>
    </row>
    <row r="50" customFormat="false" ht="18" hidden="false" customHeight="true" outlineLevel="0" collapsed="false">
      <c r="B50" s="42"/>
      <c r="C50" s="13"/>
      <c r="D50" s="14"/>
      <c r="E50" s="17"/>
      <c r="F50" s="44" t="str">
        <f aca="false">IF(OR(D50="",E50=""),"",D50*E50)</f>
        <v/>
      </c>
      <c r="G50" s="13"/>
      <c r="H50" s="43"/>
      <c r="I50" s="13"/>
    </row>
    <row r="51" customFormat="false" ht="18" hidden="false" customHeight="true" outlineLevel="0" collapsed="false">
      <c r="B51" s="40"/>
      <c r="C51" s="10"/>
      <c r="D51" s="11"/>
      <c r="E51" s="18"/>
      <c r="F51" s="35" t="str">
        <f aca="false">IF(OR(D51="",E51=""),"",D51*E51)</f>
        <v/>
      </c>
      <c r="G51" s="10"/>
      <c r="H51" s="41"/>
      <c r="I51" s="10"/>
    </row>
    <row r="52" customFormat="false" ht="18" hidden="false" customHeight="true" outlineLevel="0" collapsed="false">
      <c r="B52" s="42"/>
      <c r="C52" s="13"/>
      <c r="D52" s="14"/>
      <c r="E52" s="17"/>
      <c r="F52" s="44" t="str">
        <f aca="false">IF(OR(D52="",E52=""),"",D52*E52)</f>
        <v/>
      </c>
      <c r="G52" s="13"/>
      <c r="H52" s="43"/>
      <c r="I52" s="13"/>
    </row>
    <row r="53" customFormat="false" ht="18" hidden="false" customHeight="true" outlineLevel="0" collapsed="false">
      <c r="B53" s="40"/>
      <c r="C53" s="10"/>
      <c r="D53" s="11"/>
      <c r="E53" s="18"/>
      <c r="F53" s="35" t="str">
        <f aca="false">IF(OR(D53="",E53=""),"",D53*E53)</f>
        <v/>
      </c>
      <c r="G53" s="10"/>
      <c r="H53" s="41"/>
      <c r="I53" s="10"/>
    </row>
    <row r="54" customFormat="false" ht="18" hidden="false" customHeight="true" outlineLevel="0" collapsed="false">
      <c r="B54" s="42"/>
      <c r="C54" s="13"/>
      <c r="D54" s="14"/>
      <c r="E54" s="17"/>
      <c r="F54" s="44" t="str">
        <f aca="false">IF(OR(D54="",E54=""),"",D54*E54)</f>
        <v/>
      </c>
      <c r="G54" s="13"/>
      <c r="H54" s="43"/>
      <c r="I54" s="13"/>
    </row>
    <row r="55" customFormat="false" ht="18" hidden="false" customHeight="true" outlineLevel="0" collapsed="false">
      <c r="B55" s="40"/>
      <c r="C55" s="10"/>
      <c r="D55" s="11"/>
      <c r="E55" s="18"/>
      <c r="F55" s="35" t="str">
        <f aca="false">IF(OR(D55="",E55=""),"",D55*E55)</f>
        <v/>
      </c>
      <c r="G55" s="10"/>
      <c r="H55" s="41"/>
      <c r="I55" s="10"/>
    </row>
    <row r="56" customFormat="false" ht="18" hidden="false" customHeight="true" outlineLevel="0" collapsed="false">
      <c r="B56" s="42"/>
      <c r="C56" s="13"/>
      <c r="D56" s="14"/>
      <c r="E56" s="17"/>
      <c r="F56" s="44" t="str">
        <f aca="false">IF(OR(D56="",E56=""),"",D56*E56)</f>
        <v/>
      </c>
      <c r="G56" s="13"/>
      <c r="H56" s="43"/>
      <c r="I56" s="13"/>
    </row>
    <row r="57" customFormat="false" ht="18" hidden="false" customHeight="true" outlineLevel="0" collapsed="false">
      <c r="B57" s="40"/>
      <c r="C57" s="10"/>
      <c r="D57" s="11"/>
      <c r="E57" s="18"/>
      <c r="F57" s="35" t="str">
        <f aca="false">IF(OR(D57="",E57=""),"",D57*E57)</f>
        <v/>
      </c>
      <c r="G57" s="10"/>
      <c r="H57" s="41"/>
      <c r="I57" s="10"/>
    </row>
    <row r="58" customFormat="false" ht="18" hidden="false" customHeight="true" outlineLevel="0" collapsed="false">
      <c r="B58" s="42"/>
      <c r="C58" s="13"/>
      <c r="D58" s="14"/>
      <c r="E58" s="17"/>
      <c r="F58" s="44" t="str">
        <f aca="false">IF(OR(D58="",E58=""),"",D58*E58)</f>
        <v/>
      </c>
      <c r="G58" s="13"/>
      <c r="H58" s="43"/>
      <c r="I58" s="13"/>
    </row>
    <row r="59" customFormat="false" ht="18" hidden="false" customHeight="true" outlineLevel="0" collapsed="false">
      <c r="B59" s="40"/>
      <c r="C59" s="10"/>
      <c r="D59" s="11"/>
      <c r="E59" s="18"/>
      <c r="F59" s="35" t="str">
        <f aca="false">IF(OR(D59="",E59=""),"",D59*E59)</f>
        <v/>
      </c>
      <c r="G59" s="10"/>
      <c r="H59" s="41"/>
      <c r="I59" s="10"/>
    </row>
    <row r="60" customFormat="false" ht="18" hidden="false" customHeight="true" outlineLevel="0" collapsed="false">
      <c r="B60" s="42"/>
      <c r="C60" s="13"/>
      <c r="D60" s="14"/>
      <c r="E60" s="17"/>
      <c r="F60" s="44" t="str">
        <f aca="false">IF(OR(D60="",E60=""),"",D60*E60)</f>
        <v/>
      </c>
      <c r="G60" s="13"/>
      <c r="H60" s="43"/>
      <c r="I60" s="13"/>
    </row>
    <row r="61" customFormat="false" ht="18" hidden="false" customHeight="true" outlineLevel="0" collapsed="false">
      <c r="B61" s="40"/>
      <c r="C61" s="10"/>
      <c r="D61" s="11"/>
      <c r="E61" s="18"/>
      <c r="F61" s="35" t="str">
        <f aca="false">IF(OR(D61="",E61=""),"",D61*E61)</f>
        <v/>
      </c>
      <c r="G61" s="10"/>
      <c r="H61" s="41"/>
      <c r="I61" s="10"/>
    </row>
    <row r="62" customFormat="false" ht="18" hidden="false" customHeight="true" outlineLevel="0" collapsed="false">
      <c r="B62" s="42"/>
      <c r="C62" s="13"/>
      <c r="D62" s="14"/>
      <c r="E62" s="17"/>
      <c r="F62" s="44" t="str">
        <f aca="false">IF(OR(D62="",E62=""),"",D62*E62)</f>
        <v/>
      </c>
      <c r="G62" s="13"/>
      <c r="H62" s="43"/>
      <c r="I62" s="13"/>
    </row>
    <row r="63" customFormat="false" ht="18" hidden="false" customHeight="true" outlineLevel="0" collapsed="false">
      <c r="B63" s="40"/>
      <c r="C63" s="10"/>
      <c r="D63" s="11"/>
      <c r="E63" s="18"/>
      <c r="F63" s="35" t="str">
        <f aca="false">IF(OR(D63="",E63=""),"",D63*E63)</f>
        <v/>
      </c>
      <c r="G63" s="10"/>
      <c r="H63" s="41"/>
      <c r="I63" s="10"/>
    </row>
    <row r="64" customFormat="false" ht="18" hidden="false" customHeight="true" outlineLevel="0" collapsed="false">
      <c r="B64" s="42"/>
      <c r="C64" s="13"/>
      <c r="D64" s="14"/>
      <c r="E64" s="17"/>
      <c r="F64" s="44" t="str">
        <f aca="false">IF(OR(D64="",E64=""),"",D64*E64)</f>
        <v/>
      </c>
      <c r="G64" s="13"/>
      <c r="H64" s="43"/>
      <c r="I64" s="13"/>
    </row>
    <row r="65" customFormat="false" ht="18" hidden="false" customHeight="true" outlineLevel="0" collapsed="false">
      <c r="B65" s="40"/>
      <c r="C65" s="10"/>
      <c r="D65" s="11"/>
      <c r="E65" s="18"/>
      <c r="F65" s="35" t="str">
        <f aca="false">IF(OR(D65="",E65=""),"",D65*E65)</f>
        <v/>
      </c>
      <c r="G65" s="10"/>
      <c r="H65" s="41"/>
      <c r="I65" s="10"/>
    </row>
    <row r="66" customFormat="false" ht="18" hidden="false" customHeight="true" outlineLevel="0" collapsed="false">
      <c r="B66" s="42"/>
      <c r="C66" s="13"/>
      <c r="D66" s="14"/>
      <c r="E66" s="17"/>
      <c r="F66" s="44" t="str">
        <f aca="false">IF(OR(D66="",E66=""),"",D66*E66)</f>
        <v/>
      </c>
      <c r="G66" s="13"/>
      <c r="H66" s="43"/>
      <c r="I66" s="13"/>
    </row>
    <row r="67" customFormat="false" ht="18" hidden="false" customHeight="true" outlineLevel="0" collapsed="false">
      <c r="B67" s="40"/>
      <c r="C67" s="10"/>
      <c r="D67" s="11"/>
      <c r="E67" s="18"/>
      <c r="F67" s="35" t="str">
        <f aca="false">IF(OR(D67="",E67=""),"",D67*E67)</f>
        <v/>
      </c>
      <c r="G67" s="10"/>
      <c r="H67" s="41"/>
      <c r="I67" s="10"/>
    </row>
    <row r="68" customFormat="false" ht="18" hidden="false" customHeight="true" outlineLevel="0" collapsed="false">
      <c r="B68" s="42"/>
      <c r="C68" s="13"/>
      <c r="D68" s="14"/>
      <c r="E68" s="17"/>
      <c r="F68" s="44" t="str">
        <f aca="false">IF(OR(D68="",E68=""),"",D68*E68)</f>
        <v/>
      </c>
      <c r="G68" s="13"/>
      <c r="H68" s="43"/>
      <c r="I68" s="13"/>
    </row>
    <row r="69" customFormat="false" ht="18" hidden="false" customHeight="true" outlineLevel="0" collapsed="false">
      <c r="B69" s="40"/>
      <c r="C69" s="10"/>
      <c r="D69" s="11"/>
      <c r="E69" s="18"/>
      <c r="F69" s="35" t="str">
        <f aca="false">IF(OR(D69="",E69=""),"",D69*E69)</f>
        <v/>
      </c>
      <c r="G69" s="10"/>
      <c r="H69" s="41"/>
      <c r="I69" s="10"/>
    </row>
    <row r="70" customFormat="false" ht="18" hidden="false" customHeight="true" outlineLevel="0" collapsed="false">
      <c r="B70" s="42"/>
      <c r="C70" s="13"/>
      <c r="D70" s="14"/>
      <c r="E70" s="17"/>
      <c r="F70" s="44" t="str">
        <f aca="false">IF(OR(D70="",E70=""),"",D70*E70)</f>
        <v/>
      </c>
      <c r="G70" s="13"/>
      <c r="H70" s="43"/>
      <c r="I70" s="13"/>
    </row>
    <row r="71" customFormat="false" ht="18" hidden="false" customHeight="true" outlineLevel="0" collapsed="false">
      <c r="B71" s="40"/>
      <c r="C71" s="10"/>
      <c r="D71" s="11"/>
      <c r="E71" s="18"/>
      <c r="F71" s="35" t="str">
        <f aca="false">IF(OR(D71="",E71=""),"",D71*E71)</f>
        <v/>
      </c>
      <c r="G71" s="10"/>
      <c r="H71" s="41"/>
      <c r="I71" s="10"/>
    </row>
    <row r="72" customFormat="false" ht="18" hidden="false" customHeight="true" outlineLevel="0" collapsed="false">
      <c r="B72" s="42"/>
      <c r="C72" s="13"/>
      <c r="D72" s="14"/>
      <c r="E72" s="17"/>
      <c r="F72" s="44" t="str">
        <f aca="false">IF(OR(D72="",E72=""),"",D72*E72)</f>
        <v/>
      </c>
      <c r="G72" s="13"/>
      <c r="H72" s="43"/>
      <c r="I72" s="13"/>
    </row>
    <row r="73" customFormat="false" ht="18" hidden="false" customHeight="true" outlineLevel="0" collapsed="false">
      <c r="B73" s="40"/>
      <c r="C73" s="10"/>
      <c r="D73" s="11"/>
      <c r="E73" s="18"/>
      <c r="F73" s="35" t="str">
        <f aca="false">IF(OR(D73="",E73=""),"",D73*E73)</f>
        <v/>
      </c>
      <c r="G73" s="10"/>
      <c r="H73" s="41"/>
      <c r="I73" s="10"/>
    </row>
    <row r="74" customFormat="false" ht="18" hidden="false" customHeight="true" outlineLevel="0" collapsed="false">
      <c r="B74" s="42"/>
      <c r="C74" s="13"/>
      <c r="D74" s="14"/>
      <c r="E74" s="17"/>
      <c r="F74" s="44" t="str">
        <f aca="false">IF(OR(D74="",E74=""),"",D74*E74)</f>
        <v/>
      </c>
      <c r="G74" s="13"/>
      <c r="H74" s="43"/>
      <c r="I74" s="13"/>
    </row>
    <row r="75" customFormat="false" ht="18" hidden="false" customHeight="true" outlineLevel="0" collapsed="false">
      <c r="B75" s="40"/>
      <c r="C75" s="10"/>
      <c r="D75" s="11"/>
      <c r="E75" s="18"/>
      <c r="F75" s="35" t="str">
        <f aca="false">IF(OR(D75="",E75=""),"",D75*E75)</f>
        <v/>
      </c>
      <c r="G75" s="10"/>
      <c r="H75" s="41"/>
      <c r="I75" s="10"/>
    </row>
    <row r="76" customFormat="false" ht="18" hidden="false" customHeight="true" outlineLevel="0" collapsed="false">
      <c r="B76" s="42"/>
      <c r="C76" s="13"/>
      <c r="D76" s="14"/>
      <c r="E76" s="17"/>
      <c r="F76" s="44" t="str">
        <f aca="false">IF(OR(D76="",E76=""),"",D76*E76)</f>
        <v/>
      </c>
      <c r="G76" s="13"/>
      <c r="H76" s="43"/>
      <c r="I76" s="13"/>
    </row>
    <row r="77" customFormat="false" ht="18" hidden="false" customHeight="true" outlineLevel="0" collapsed="false">
      <c r="B77" s="40"/>
      <c r="C77" s="10"/>
      <c r="D77" s="11"/>
      <c r="E77" s="18"/>
      <c r="F77" s="35" t="str">
        <f aca="false">IF(OR(D77="",E77=""),"",D77*E77)</f>
        <v/>
      </c>
      <c r="G77" s="10"/>
      <c r="H77" s="41"/>
      <c r="I77" s="10"/>
    </row>
    <row r="78" customFormat="false" ht="18" hidden="false" customHeight="true" outlineLevel="0" collapsed="false">
      <c r="B78" s="42"/>
      <c r="C78" s="13"/>
      <c r="D78" s="14"/>
      <c r="E78" s="17"/>
      <c r="F78" s="44" t="str">
        <f aca="false">IF(OR(D78="",E78=""),"",D78*E78)</f>
        <v/>
      </c>
      <c r="G78" s="13"/>
      <c r="H78" s="43"/>
      <c r="I78" s="13"/>
    </row>
    <row r="79" customFormat="false" ht="18" hidden="false" customHeight="true" outlineLevel="0" collapsed="false">
      <c r="B79" s="40"/>
      <c r="C79" s="10"/>
      <c r="D79" s="11"/>
      <c r="E79" s="18"/>
      <c r="F79" s="35" t="str">
        <f aca="false">IF(OR(D79="",E79=""),"",D79*E79)</f>
        <v/>
      </c>
      <c r="G79" s="10"/>
      <c r="H79" s="41"/>
      <c r="I79" s="10"/>
    </row>
    <row r="80" customFormat="false" ht="18" hidden="false" customHeight="true" outlineLevel="0" collapsed="false">
      <c r="B80" s="42"/>
      <c r="C80" s="13"/>
      <c r="D80" s="14"/>
      <c r="E80" s="17"/>
      <c r="F80" s="44" t="str">
        <f aca="false">IF(OR(D80="",E80=""),"",D80*E80)</f>
        <v/>
      </c>
      <c r="G80" s="13"/>
      <c r="H80" s="43"/>
      <c r="I80" s="13"/>
    </row>
    <row r="81" customFormat="false" ht="18" hidden="false" customHeight="true" outlineLevel="0" collapsed="false">
      <c r="B81" s="40"/>
      <c r="C81" s="10"/>
      <c r="D81" s="11"/>
      <c r="E81" s="18"/>
      <c r="F81" s="35" t="str">
        <f aca="false">IF(OR(D81="",E81=""),"",D81*E81)</f>
        <v/>
      </c>
      <c r="G81" s="10"/>
      <c r="H81" s="41"/>
      <c r="I81" s="10"/>
    </row>
    <row r="82" customFormat="false" ht="18" hidden="false" customHeight="true" outlineLevel="0" collapsed="false">
      <c r="B82" s="42"/>
      <c r="C82" s="13"/>
      <c r="D82" s="14"/>
      <c r="E82" s="17"/>
      <c r="F82" s="44" t="str">
        <f aca="false">IF(OR(D82="",E82=""),"",D82*E82)</f>
        <v/>
      </c>
      <c r="G82" s="13"/>
      <c r="H82" s="43"/>
      <c r="I82" s="13"/>
    </row>
    <row r="83" customFormat="false" ht="18" hidden="false" customHeight="true" outlineLevel="0" collapsed="false">
      <c r="B83" s="40"/>
      <c r="C83" s="10"/>
      <c r="D83" s="11"/>
      <c r="E83" s="18"/>
      <c r="F83" s="35" t="str">
        <f aca="false">IF(OR(D83="",E83=""),"",D83*E83)</f>
        <v/>
      </c>
      <c r="G83" s="10"/>
      <c r="H83" s="41"/>
      <c r="I83" s="10"/>
    </row>
    <row r="84" customFormat="false" ht="18" hidden="false" customHeight="true" outlineLevel="0" collapsed="false">
      <c r="B84" s="42"/>
      <c r="C84" s="13"/>
      <c r="D84" s="14"/>
      <c r="E84" s="17"/>
      <c r="F84" s="44" t="str">
        <f aca="false">IF(OR(D84="",E84=""),"",D84*E84)</f>
        <v/>
      </c>
      <c r="G84" s="13"/>
      <c r="H84" s="43"/>
      <c r="I84" s="13"/>
    </row>
    <row r="85" customFormat="false" ht="18" hidden="false" customHeight="true" outlineLevel="0" collapsed="false">
      <c r="B85" s="40"/>
      <c r="C85" s="10"/>
      <c r="D85" s="11"/>
      <c r="E85" s="18"/>
      <c r="F85" s="35" t="str">
        <f aca="false">IF(OR(D85="",E85=""),"",D85*E85)</f>
        <v/>
      </c>
      <c r="G85" s="10"/>
      <c r="H85" s="41"/>
      <c r="I85" s="10"/>
    </row>
    <row r="86" customFormat="false" ht="18" hidden="false" customHeight="true" outlineLevel="0" collapsed="false">
      <c r="B86" s="42"/>
      <c r="C86" s="13"/>
      <c r="D86" s="14"/>
      <c r="E86" s="17"/>
      <c r="F86" s="44" t="str">
        <f aca="false">IF(OR(D86="",E86=""),"",D86*E86)</f>
        <v/>
      </c>
      <c r="G86" s="13"/>
      <c r="H86" s="43"/>
      <c r="I86" s="13"/>
    </row>
    <row r="87" customFormat="false" ht="18" hidden="false" customHeight="true" outlineLevel="0" collapsed="false">
      <c r="B87" s="40"/>
      <c r="C87" s="10"/>
      <c r="D87" s="11"/>
      <c r="E87" s="18"/>
      <c r="F87" s="35" t="str">
        <f aca="false">IF(OR(D87="",E87=""),"",D87*E87)</f>
        <v/>
      </c>
      <c r="G87" s="10"/>
      <c r="H87" s="41"/>
      <c r="I87" s="10"/>
    </row>
    <row r="88" customFormat="false" ht="18" hidden="false" customHeight="true" outlineLevel="0" collapsed="false">
      <c r="B88" s="42"/>
      <c r="C88" s="13"/>
      <c r="D88" s="14"/>
      <c r="E88" s="17"/>
      <c r="F88" s="44" t="str">
        <f aca="false">IF(OR(D88="",E88=""),"",D88*E88)</f>
        <v/>
      </c>
      <c r="G88" s="13"/>
      <c r="H88" s="43"/>
      <c r="I88" s="13"/>
    </row>
    <row r="89" customFormat="false" ht="18" hidden="false" customHeight="true" outlineLevel="0" collapsed="false">
      <c r="B89" s="40"/>
      <c r="C89" s="10"/>
      <c r="D89" s="11"/>
      <c r="E89" s="18"/>
      <c r="F89" s="35" t="str">
        <f aca="false">IF(OR(D89="",E89=""),"",D89*E89)</f>
        <v/>
      </c>
      <c r="G89" s="10"/>
      <c r="H89" s="41"/>
      <c r="I89" s="10"/>
    </row>
    <row r="90" customFormat="false" ht="18" hidden="false" customHeight="true" outlineLevel="0" collapsed="false">
      <c r="B90" s="42"/>
      <c r="C90" s="13"/>
      <c r="D90" s="14"/>
      <c r="E90" s="17"/>
      <c r="F90" s="44" t="str">
        <f aca="false">IF(OR(D90="",E90=""),"",D90*E90)</f>
        <v/>
      </c>
      <c r="G90" s="13"/>
      <c r="H90" s="43"/>
      <c r="I90" s="13"/>
    </row>
    <row r="91" customFormat="false" ht="18" hidden="false" customHeight="true" outlineLevel="0" collapsed="false">
      <c r="B91" s="40"/>
      <c r="C91" s="10"/>
      <c r="D91" s="11"/>
      <c r="E91" s="18"/>
      <c r="F91" s="35" t="str">
        <f aca="false">IF(OR(D91="",E91=""),"",D91*E91)</f>
        <v/>
      </c>
      <c r="G91" s="10"/>
      <c r="H91" s="41"/>
      <c r="I91" s="10"/>
    </row>
    <row r="92" customFormat="false" ht="18" hidden="false" customHeight="true" outlineLevel="0" collapsed="false">
      <c r="B92" s="42"/>
      <c r="C92" s="13"/>
      <c r="D92" s="14"/>
      <c r="E92" s="17"/>
      <c r="F92" s="44" t="str">
        <f aca="false">IF(OR(D92="",E92=""),"",D92*E92)</f>
        <v/>
      </c>
      <c r="G92" s="13"/>
      <c r="H92" s="43"/>
      <c r="I92" s="13"/>
    </row>
    <row r="93" customFormat="false" ht="18" hidden="false" customHeight="true" outlineLevel="0" collapsed="false">
      <c r="B93" s="40"/>
      <c r="C93" s="10"/>
      <c r="D93" s="11"/>
      <c r="E93" s="18"/>
      <c r="F93" s="35" t="str">
        <f aca="false">IF(OR(D93="",E93=""),"",D93*E93)</f>
        <v/>
      </c>
      <c r="G93" s="10"/>
      <c r="H93" s="41"/>
      <c r="I93" s="10"/>
    </row>
    <row r="94" customFormat="false" ht="18" hidden="false" customHeight="true" outlineLevel="0" collapsed="false">
      <c r="B94" s="42"/>
      <c r="C94" s="13"/>
      <c r="D94" s="14"/>
      <c r="E94" s="17"/>
      <c r="F94" s="44" t="str">
        <f aca="false">IF(OR(D94="",E94=""),"",D94*E94)</f>
        <v/>
      </c>
      <c r="G94" s="13"/>
      <c r="H94" s="43"/>
      <c r="I94" s="13"/>
    </row>
    <row r="95" customFormat="false" ht="18" hidden="false" customHeight="true" outlineLevel="0" collapsed="false">
      <c r="B95" s="40"/>
      <c r="C95" s="10"/>
      <c r="D95" s="11"/>
      <c r="E95" s="18"/>
      <c r="F95" s="35" t="str">
        <f aca="false">IF(OR(D95="",E95=""),"",D95*E95)</f>
        <v/>
      </c>
      <c r="G95" s="10"/>
      <c r="H95" s="41"/>
      <c r="I95" s="10"/>
    </row>
    <row r="96" customFormat="false" ht="18" hidden="false" customHeight="true" outlineLevel="0" collapsed="false">
      <c r="B96" s="42"/>
      <c r="C96" s="13"/>
      <c r="D96" s="14"/>
      <c r="E96" s="17"/>
      <c r="F96" s="44" t="str">
        <f aca="false">IF(OR(D96="",E96=""),"",D96*E96)</f>
        <v/>
      </c>
      <c r="G96" s="13"/>
      <c r="H96" s="43"/>
      <c r="I96" s="13"/>
    </row>
    <row r="97" customFormat="false" ht="18" hidden="false" customHeight="true" outlineLevel="0" collapsed="false">
      <c r="B97" s="40"/>
      <c r="C97" s="10"/>
      <c r="D97" s="11"/>
      <c r="E97" s="18"/>
      <c r="F97" s="35" t="str">
        <f aca="false">IF(OR(D97="",E97=""),"",D97*E97)</f>
        <v/>
      </c>
      <c r="G97" s="10"/>
      <c r="H97" s="41"/>
      <c r="I97" s="10"/>
    </row>
    <row r="98" customFormat="false" ht="18" hidden="false" customHeight="true" outlineLevel="0" collapsed="false">
      <c r="B98" s="42"/>
      <c r="C98" s="13"/>
      <c r="D98" s="14"/>
      <c r="E98" s="17"/>
      <c r="F98" s="44" t="str">
        <f aca="false">IF(OR(D98="",E98=""),"",D98*E98)</f>
        <v/>
      </c>
      <c r="G98" s="13"/>
      <c r="H98" s="43"/>
      <c r="I98" s="13"/>
    </row>
    <row r="99" customFormat="false" ht="18" hidden="false" customHeight="true" outlineLevel="0" collapsed="false">
      <c r="B99" s="40"/>
      <c r="C99" s="10"/>
      <c r="D99" s="11"/>
      <c r="E99" s="18"/>
      <c r="F99" s="35" t="str">
        <f aca="false">IF(OR(D99="",E99=""),"",D99*E99)</f>
        <v/>
      </c>
      <c r="G99" s="10"/>
      <c r="H99" s="41"/>
      <c r="I99" s="10"/>
    </row>
    <row r="100" customFormat="false" ht="18" hidden="false" customHeight="true" outlineLevel="0" collapsed="false">
      <c r="B100" s="42"/>
      <c r="C100" s="13"/>
      <c r="D100" s="14"/>
      <c r="E100" s="17"/>
      <c r="F100" s="44" t="str">
        <f aca="false">IF(OR(D100="",E100=""),"",D100*E100)</f>
        <v/>
      </c>
      <c r="G100" s="13"/>
      <c r="H100" s="43"/>
      <c r="I100" s="13"/>
    </row>
    <row r="101" customFormat="false" ht="18" hidden="false" customHeight="true" outlineLevel="0" collapsed="false">
      <c r="B101" s="40"/>
      <c r="C101" s="10"/>
      <c r="D101" s="11"/>
      <c r="E101" s="18"/>
      <c r="F101" s="35" t="str">
        <f aca="false">IF(OR(D101="",E101=""),"",D101*E101)</f>
        <v/>
      </c>
      <c r="G101" s="10"/>
      <c r="H101" s="41"/>
      <c r="I101" s="10"/>
    </row>
    <row r="102" customFormat="false" ht="18" hidden="false" customHeight="true" outlineLevel="0" collapsed="false">
      <c r="B102" s="42"/>
      <c r="C102" s="13"/>
      <c r="D102" s="14"/>
      <c r="E102" s="17"/>
      <c r="F102" s="44" t="str">
        <f aca="false">IF(OR(D102="",E102=""),"",D102*E102)</f>
        <v/>
      </c>
      <c r="G102" s="13"/>
      <c r="H102" s="43"/>
      <c r="I102" s="13"/>
    </row>
    <row r="103" customFormat="false" ht="18" hidden="false" customHeight="true" outlineLevel="0" collapsed="false">
      <c r="B103" s="40"/>
      <c r="C103" s="10"/>
      <c r="D103" s="11"/>
      <c r="E103" s="18"/>
      <c r="F103" s="35" t="str">
        <f aca="false">IF(OR(D103="",E103=""),"",D103*E103)</f>
        <v/>
      </c>
      <c r="G103" s="10"/>
      <c r="H103" s="41"/>
      <c r="I103" s="10"/>
    </row>
    <row r="104" customFormat="false" ht="18" hidden="false" customHeight="true" outlineLevel="0" collapsed="false">
      <c r="B104" s="42"/>
      <c r="C104" s="13"/>
      <c r="D104" s="14"/>
      <c r="E104" s="17"/>
      <c r="F104" s="44" t="str">
        <f aca="false">IF(OR(D104="",E104=""),"",D104*E104)</f>
        <v/>
      </c>
      <c r="G104" s="13"/>
      <c r="H104" s="43"/>
      <c r="I104" s="13"/>
    </row>
    <row r="105" customFormat="false" ht="18" hidden="false" customHeight="true" outlineLevel="0" collapsed="false">
      <c r="B105" s="40"/>
      <c r="C105" s="10"/>
      <c r="D105" s="11"/>
      <c r="E105" s="18"/>
      <c r="F105" s="35" t="str">
        <f aca="false">IF(OR(D105="",E105=""),"",D105*E105)</f>
        <v/>
      </c>
      <c r="G105" s="10"/>
      <c r="H105" s="41"/>
      <c r="I105" s="10"/>
    </row>
    <row r="106" customFormat="false" ht="18" hidden="false" customHeight="true" outlineLevel="0" collapsed="false">
      <c r="B106" s="42"/>
      <c r="C106" s="13"/>
      <c r="D106" s="14"/>
      <c r="E106" s="17"/>
      <c r="F106" s="44" t="str">
        <f aca="false">IF(OR(D106="",E106=""),"",D106*E106)</f>
        <v/>
      </c>
      <c r="G106" s="13"/>
      <c r="H106" s="43"/>
      <c r="I106" s="13"/>
    </row>
    <row r="107" customFormat="false" ht="18" hidden="false" customHeight="true" outlineLevel="0" collapsed="false">
      <c r="B107" s="40"/>
      <c r="C107" s="10"/>
      <c r="D107" s="11"/>
      <c r="E107" s="18"/>
      <c r="F107" s="35" t="str">
        <f aca="false">IF(OR(D107="",E107=""),"",D107*E107)</f>
        <v/>
      </c>
      <c r="G107" s="10"/>
      <c r="H107" s="41"/>
      <c r="I107" s="10"/>
    </row>
    <row r="108" customFormat="false" ht="18" hidden="false" customHeight="true" outlineLevel="0" collapsed="false">
      <c r="B108" s="42"/>
      <c r="C108" s="13"/>
      <c r="D108" s="14"/>
      <c r="E108" s="17"/>
      <c r="F108" s="44" t="str">
        <f aca="false">IF(OR(D108="",E108=""),"",D108*E108)</f>
        <v/>
      </c>
      <c r="G108" s="13"/>
      <c r="H108" s="43"/>
      <c r="I108" s="13"/>
    </row>
    <row r="109" customFormat="false" ht="18" hidden="false" customHeight="true" outlineLevel="0" collapsed="false">
      <c r="B109" s="40"/>
      <c r="C109" s="10"/>
      <c r="D109" s="11"/>
      <c r="E109" s="18"/>
      <c r="F109" s="35" t="str">
        <f aca="false">IF(OR(D109="",E109=""),"",D109*E109)</f>
        <v/>
      </c>
      <c r="G109" s="10"/>
      <c r="H109" s="41"/>
      <c r="I109" s="10"/>
    </row>
    <row r="110" customFormat="false" ht="18" hidden="false" customHeight="true" outlineLevel="0" collapsed="false">
      <c r="B110" s="42"/>
      <c r="C110" s="13"/>
      <c r="D110" s="14"/>
      <c r="E110" s="17"/>
      <c r="F110" s="44" t="str">
        <f aca="false">IF(OR(D110="",E110=""),"",D110*E110)</f>
        <v/>
      </c>
      <c r="G110" s="13"/>
      <c r="H110" s="43"/>
      <c r="I110" s="13"/>
    </row>
    <row r="111" customFormat="false" ht="18" hidden="false" customHeight="true" outlineLevel="0" collapsed="false">
      <c r="B111" s="40"/>
      <c r="C111" s="10"/>
      <c r="D111" s="11"/>
      <c r="E111" s="18"/>
      <c r="F111" s="35" t="str">
        <f aca="false">IF(OR(D111="",E111=""),"",D111*E111)</f>
        <v/>
      </c>
      <c r="G111" s="10"/>
      <c r="H111" s="41"/>
      <c r="I111" s="10"/>
    </row>
    <row r="112" customFormat="false" ht="18" hidden="false" customHeight="true" outlineLevel="0" collapsed="false">
      <c r="B112" s="42"/>
      <c r="C112" s="13"/>
      <c r="D112" s="14"/>
      <c r="E112" s="17"/>
      <c r="F112" s="44" t="str">
        <f aca="false">IF(OR(D112="",E112=""),"",D112*E112)</f>
        <v/>
      </c>
      <c r="G112" s="13"/>
      <c r="H112" s="43"/>
      <c r="I112" s="13"/>
    </row>
    <row r="113" customFormat="false" ht="18" hidden="false" customHeight="true" outlineLevel="0" collapsed="false">
      <c r="B113" s="40"/>
      <c r="C113" s="10"/>
      <c r="D113" s="11"/>
      <c r="E113" s="18"/>
      <c r="F113" s="35" t="str">
        <f aca="false">IF(OR(D113="",E113=""),"",D113*E113)</f>
        <v/>
      </c>
      <c r="G113" s="10"/>
      <c r="H113" s="41"/>
      <c r="I113" s="10"/>
    </row>
    <row r="114" customFormat="false" ht="18" hidden="false" customHeight="true" outlineLevel="0" collapsed="false">
      <c r="B114" s="42"/>
      <c r="C114" s="13"/>
      <c r="D114" s="14"/>
      <c r="E114" s="17"/>
      <c r="F114" s="44" t="str">
        <f aca="false">IF(OR(D114="",E114=""),"",D114*E114)</f>
        <v/>
      </c>
      <c r="G114" s="13"/>
      <c r="H114" s="43"/>
      <c r="I114" s="13"/>
    </row>
    <row r="115" customFormat="false" ht="18" hidden="false" customHeight="true" outlineLevel="0" collapsed="false">
      <c r="B115" s="40"/>
      <c r="C115" s="10"/>
      <c r="D115" s="11"/>
      <c r="E115" s="18"/>
      <c r="F115" s="35" t="str">
        <f aca="false">IF(OR(D115="",E115=""),"",D115*E115)</f>
        <v/>
      </c>
      <c r="G115" s="10"/>
      <c r="H115" s="41"/>
      <c r="I115" s="10"/>
    </row>
    <row r="116" customFormat="false" ht="18" hidden="false" customHeight="true" outlineLevel="0" collapsed="false">
      <c r="B116" s="42"/>
      <c r="C116" s="13"/>
      <c r="D116" s="14"/>
      <c r="E116" s="17"/>
      <c r="F116" s="44" t="str">
        <f aca="false">IF(OR(D116="",E116=""),"",D116*E116)</f>
        <v/>
      </c>
      <c r="G116" s="13"/>
      <c r="H116" s="43"/>
      <c r="I116" s="13"/>
    </row>
    <row r="117" customFormat="false" ht="18" hidden="false" customHeight="true" outlineLevel="0" collapsed="false">
      <c r="B117" s="40"/>
      <c r="C117" s="10"/>
      <c r="D117" s="11"/>
      <c r="E117" s="18"/>
      <c r="F117" s="35" t="str">
        <f aca="false">IF(OR(D117="",E117=""),"",D117*E117)</f>
        <v/>
      </c>
      <c r="G117" s="10"/>
      <c r="H117" s="41"/>
      <c r="I117" s="10"/>
    </row>
    <row r="118" customFormat="false" ht="18" hidden="false" customHeight="true" outlineLevel="0" collapsed="false">
      <c r="B118" s="42"/>
      <c r="C118" s="13"/>
      <c r="D118" s="14"/>
      <c r="E118" s="17"/>
      <c r="F118" s="44" t="str">
        <f aca="false">IF(OR(D118="",E118=""),"",D118*E118)</f>
        <v/>
      </c>
      <c r="G118" s="13"/>
      <c r="H118" s="43"/>
      <c r="I118" s="13"/>
    </row>
    <row r="119" customFormat="false" ht="18" hidden="false" customHeight="true" outlineLevel="0" collapsed="false">
      <c r="B119" s="40"/>
      <c r="C119" s="10"/>
      <c r="D119" s="11"/>
      <c r="E119" s="18"/>
      <c r="F119" s="35" t="str">
        <f aca="false">IF(OR(D119="",E119=""),"",D119*E119)</f>
        <v/>
      </c>
      <c r="G119" s="10"/>
      <c r="H119" s="41"/>
      <c r="I119" s="10"/>
    </row>
    <row r="120" customFormat="false" ht="18" hidden="false" customHeight="true" outlineLevel="0" collapsed="false">
      <c r="B120" s="42"/>
      <c r="C120" s="13"/>
      <c r="D120" s="14"/>
      <c r="E120" s="17"/>
      <c r="F120" s="44" t="str">
        <f aca="false">IF(OR(D120="",E120=""),"",D120*E120)</f>
        <v/>
      </c>
      <c r="G120" s="13"/>
      <c r="H120" s="43"/>
      <c r="I120" s="13"/>
    </row>
    <row r="121" customFormat="false" ht="18" hidden="false" customHeight="true" outlineLevel="0" collapsed="false">
      <c r="B121" s="40"/>
      <c r="C121" s="10"/>
      <c r="D121" s="11"/>
      <c r="E121" s="18"/>
      <c r="F121" s="35" t="str">
        <f aca="false">IF(OR(D121="",E121=""),"",D121*E121)</f>
        <v/>
      </c>
      <c r="G121" s="10"/>
      <c r="H121" s="41"/>
      <c r="I121" s="10"/>
    </row>
    <row r="122" customFormat="false" ht="18" hidden="false" customHeight="true" outlineLevel="0" collapsed="false">
      <c r="B122" s="42"/>
      <c r="C122" s="13"/>
      <c r="D122" s="14"/>
      <c r="E122" s="17"/>
      <c r="F122" s="44" t="str">
        <f aca="false">IF(OR(D122="",E122=""),"",D122*E122)</f>
        <v/>
      </c>
      <c r="G122" s="13"/>
      <c r="H122" s="43"/>
      <c r="I122" s="13"/>
    </row>
    <row r="123" customFormat="false" ht="18" hidden="false" customHeight="true" outlineLevel="0" collapsed="false">
      <c r="B123" s="40"/>
      <c r="C123" s="10"/>
      <c r="D123" s="11"/>
      <c r="E123" s="18"/>
      <c r="F123" s="35" t="str">
        <f aca="false">IF(OR(D123="",E123=""),"",D123*E123)</f>
        <v/>
      </c>
      <c r="G123" s="10"/>
      <c r="H123" s="41"/>
      <c r="I123" s="10"/>
    </row>
    <row r="124" customFormat="false" ht="18" hidden="false" customHeight="true" outlineLevel="0" collapsed="false">
      <c r="B124" s="42"/>
      <c r="C124" s="13"/>
      <c r="D124" s="14"/>
      <c r="E124" s="17"/>
      <c r="F124" s="44" t="str">
        <f aca="false">IF(OR(D124="",E124=""),"",D124*E124)</f>
        <v/>
      </c>
      <c r="G124" s="13"/>
      <c r="H124" s="43"/>
      <c r="I124" s="13"/>
    </row>
    <row r="125" customFormat="false" ht="18" hidden="false" customHeight="true" outlineLevel="0" collapsed="false">
      <c r="B125" s="40"/>
      <c r="C125" s="10"/>
      <c r="D125" s="11"/>
      <c r="E125" s="18"/>
      <c r="F125" s="35" t="str">
        <f aca="false">IF(OR(D125="",E125=""),"",D125*E125)</f>
        <v/>
      </c>
      <c r="G125" s="10"/>
      <c r="H125" s="41"/>
      <c r="I125" s="10"/>
    </row>
    <row r="126" customFormat="false" ht="18" hidden="false" customHeight="true" outlineLevel="0" collapsed="false">
      <c r="B126" s="42"/>
      <c r="C126" s="13"/>
      <c r="D126" s="14"/>
      <c r="E126" s="17"/>
      <c r="F126" s="44" t="str">
        <f aca="false">IF(OR(D126="",E126=""),"",D126*E126)</f>
        <v/>
      </c>
      <c r="G126" s="13"/>
      <c r="H126" s="43"/>
      <c r="I126" s="13"/>
    </row>
    <row r="127" customFormat="false" ht="18" hidden="false" customHeight="true" outlineLevel="0" collapsed="false">
      <c r="B127" s="40"/>
      <c r="C127" s="10"/>
      <c r="D127" s="11"/>
      <c r="E127" s="18"/>
      <c r="F127" s="35" t="str">
        <f aca="false">IF(OR(D127="",E127=""),"",D127*E127)</f>
        <v/>
      </c>
      <c r="G127" s="10"/>
      <c r="H127" s="41"/>
      <c r="I127" s="10"/>
    </row>
    <row r="128" customFormat="false" ht="18" hidden="false" customHeight="true" outlineLevel="0" collapsed="false">
      <c r="B128" s="42"/>
      <c r="C128" s="13"/>
      <c r="D128" s="14"/>
      <c r="E128" s="17"/>
      <c r="F128" s="44" t="str">
        <f aca="false">IF(OR(D128="",E128=""),"",D128*E128)</f>
        <v/>
      </c>
      <c r="G128" s="13"/>
      <c r="H128" s="43"/>
      <c r="I128" s="13"/>
    </row>
    <row r="129" customFormat="false" ht="18" hidden="false" customHeight="true" outlineLevel="0" collapsed="false">
      <c r="B129" s="40"/>
      <c r="C129" s="10"/>
      <c r="D129" s="11"/>
      <c r="E129" s="18"/>
      <c r="F129" s="35" t="str">
        <f aca="false">IF(OR(D129="",E129=""),"",D129*E129)</f>
        <v/>
      </c>
      <c r="G129" s="10"/>
      <c r="H129" s="41"/>
      <c r="I129" s="10"/>
    </row>
    <row r="130" customFormat="false" ht="18" hidden="false" customHeight="true" outlineLevel="0" collapsed="false">
      <c r="B130" s="42"/>
      <c r="C130" s="13"/>
      <c r="D130" s="14"/>
      <c r="E130" s="17"/>
      <c r="F130" s="44" t="str">
        <f aca="false">IF(OR(D130="",E130=""),"",D130*E130)</f>
        <v/>
      </c>
      <c r="G130" s="13"/>
      <c r="H130" s="43"/>
      <c r="I130" s="13"/>
    </row>
    <row r="131" customFormat="false" ht="18" hidden="false" customHeight="true" outlineLevel="0" collapsed="false">
      <c r="B131" s="40"/>
      <c r="C131" s="10"/>
      <c r="D131" s="11"/>
      <c r="E131" s="18"/>
      <c r="F131" s="35" t="str">
        <f aca="false">IF(OR(D131="",E131=""),"",D131*E131)</f>
        <v/>
      </c>
      <c r="G131" s="10"/>
      <c r="H131" s="41"/>
      <c r="I131" s="10"/>
    </row>
    <row r="132" customFormat="false" ht="18" hidden="false" customHeight="true" outlineLevel="0" collapsed="false">
      <c r="B132" s="42"/>
      <c r="C132" s="13"/>
      <c r="D132" s="14"/>
      <c r="E132" s="17"/>
      <c r="F132" s="44" t="str">
        <f aca="false">IF(OR(D132="",E132=""),"",D132*E132)</f>
        <v/>
      </c>
      <c r="G132" s="13"/>
      <c r="H132" s="43"/>
      <c r="I132" s="13"/>
    </row>
    <row r="133" customFormat="false" ht="18" hidden="false" customHeight="true" outlineLevel="0" collapsed="false">
      <c r="B133" s="40"/>
      <c r="C133" s="10"/>
      <c r="D133" s="11"/>
      <c r="E133" s="18"/>
      <c r="F133" s="35" t="str">
        <f aca="false">IF(OR(D133="",E133=""),"",D133*E133)</f>
        <v/>
      </c>
      <c r="G133" s="10"/>
      <c r="H133" s="41"/>
      <c r="I133" s="10"/>
    </row>
    <row r="134" customFormat="false" ht="18" hidden="false" customHeight="true" outlineLevel="0" collapsed="false">
      <c r="B134" s="42"/>
      <c r="C134" s="13"/>
      <c r="D134" s="14"/>
      <c r="E134" s="17"/>
      <c r="F134" s="44" t="str">
        <f aca="false">IF(OR(D134="",E134=""),"",D134*E134)</f>
        <v/>
      </c>
      <c r="G134" s="13"/>
      <c r="H134" s="43"/>
      <c r="I134" s="13"/>
    </row>
    <row r="135" customFormat="false" ht="18" hidden="false" customHeight="true" outlineLevel="0" collapsed="false">
      <c r="B135" s="40"/>
      <c r="C135" s="10"/>
      <c r="D135" s="11"/>
      <c r="E135" s="18"/>
      <c r="F135" s="35" t="str">
        <f aca="false">IF(OR(D135="",E135=""),"",D135*E135)</f>
        <v/>
      </c>
      <c r="G135" s="10"/>
      <c r="H135" s="41"/>
      <c r="I135" s="10"/>
    </row>
    <row r="136" customFormat="false" ht="18" hidden="false" customHeight="true" outlineLevel="0" collapsed="false">
      <c r="B136" s="42"/>
      <c r="C136" s="13"/>
      <c r="D136" s="14"/>
      <c r="E136" s="17"/>
      <c r="F136" s="44" t="str">
        <f aca="false">IF(OR(D136="",E136=""),"",D136*E136)</f>
        <v/>
      </c>
      <c r="G136" s="13"/>
      <c r="H136" s="43"/>
      <c r="I136" s="13"/>
    </row>
    <row r="137" customFormat="false" ht="18" hidden="false" customHeight="true" outlineLevel="0" collapsed="false">
      <c r="B137" s="40"/>
      <c r="C137" s="10"/>
      <c r="D137" s="11"/>
      <c r="E137" s="18"/>
      <c r="F137" s="35" t="str">
        <f aca="false">IF(OR(D137="",E137=""),"",D137*E137)</f>
        <v/>
      </c>
      <c r="G137" s="10"/>
      <c r="H137" s="41"/>
      <c r="I137" s="10"/>
    </row>
    <row r="138" customFormat="false" ht="18" hidden="false" customHeight="true" outlineLevel="0" collapsed="false">
      <c r="B138" s="42"/>
      <c r="C138" s="13"/>
      <c r="D138" s="14"/>
      <c r="E138" s="17"/>
      <c r="F138" s="44" t="str">
        <f aca="false">IF(OR(D138="",E138=""),"",D138*E138)</f>
        <v/>
      </c>
      <c r="G138" s="13"/>
      <c r="H138" s="43"/>
      <c r="I138" s="13"/>
    </row>
    <row r="139" customFormat="false" ht="18" hidden="false" customHeight="true" outlineLevel="0" collapsed="false">
      <c r="B139" s="40"/>
      <c r="C139" s="10"/>
      <c r="D139" s="11"/>
      <c r="E139" s="18"/>
      <c r="F139" s="35" t="str">
        <f aca="false">IF(OR(D139="",E139=""),"",D139*E139)</f>
        <v/>
      </c>
      <c r="G139" s="10"/>
      <c r="H139" s="41"/>
      <c r="I139" s="10"/>
    </row>
    <row r="140" customFormat="false" ht="18" hidden="false" customHeight="true" outlineLevel="0" collapsed="false">
      <c r="B140" s="42"/>
      <c r="C140" s="13"/>
      <c r="D140" s="14"/>
      <c r="E140" s="17"/>
      <c r="F140" s="44" t="str">
        <f aca="false">IF(OR(D140="",E140=""),"",D140*E140)</f>
        <v/>
      </c>
      <c r="G140" s="13"/>
      <c r="H140" s="43"/>
      <c r="I140" s="13"/>
    </row>
    <row r="141" customFormat="false" ht="18" hidden="false" customHeight="true" outlineLevel="0" collapsed="false">
      <c r="B141" s="40"/>
      <c r="C141" s="10"/>
      <c r="D141" s="11"/>
      <c r="E141" s="18"/>
      <c r="F141" s="35" t="str">
        <f aca="false">IF(OR(D141="",E141=""),"",D141*E141)</f>
        <v/>
      </c>
      <c r="G141" s="10"/>
      <c r="H141" s="41"/>
      <c r="I141" s="10"/>
    </row>
    <row r="142" customFormat="false" ht="18" hidden="false" customHeight="true" outlineLevel="0" collapsed="false">
      <c r="B142" s="42"/>
      <c r="C142" s="13"/>
      <c r="D142" s="14"/>
      <c r="E142" s="17"/>
      <c r="F142" s="44" t="str">
        <f aca="false">IF(OR(D142="",E142=""),"",D142*E142)</f>
        <v/>
      </c>
      <c r="G142" s="13"/>
      <c r="H142" s="43"/>
      <c r="I142" s="13"/>
    </row>
    <row r="143" customFormat="false" ht="18" hidden="false" customHeight="true" outlineLevel="0" collapsed="false">
      <c r="B143" s="40"/>
      <c r="C143" s="10"/>
      <c r="D143" s="11"/>
      <c r="E143" s="18"/>
      <c r="F143" s="35" t="str">
        <f aca="false">IF(OR(D143="",E143=""),"",D143*E143)</f>
        <v/>
      </c>
      <c r="G143" s="10"/>
      <c r="H143" s="41"/>
      <c r="I143" s="10"/>
    </row>
    <row r="144" customFormat="false" ht="18" hidden="false" customHeight="true" outlineLevel="0" collapsed="false">
      <c r="B144" s="42"/>
      <c r="C144" s="13"/>
      <c r="D144" s="14"/>
      <c r="E144" s="17"/>
      <c r="F144" s="44" t="str">
        <f aca="false">IF(OR(D144="",E144=""),"",D144*E144)</f>
        <v/>
      </c>
      <c r="G144" s="13"/>
      <c r="H144" s="43"/>
      <c r="I144" s="13"/>
    </row>
    <row r="145" customFormat="false" ht="18" hidden="false" customHeight="true" outlineLevel="0" collapsed="false">
      <c r="B145" s="40"/>
      <c r="C145" s="10"/>
      <c r="D145" s="11"/>
      <c r="E145" s="18"/>
      <c r="F145" s="35" t="str">
        <f aca="false">IF(OR(D145="",E145=""),"",D145*E145)</f>
        <v/>
      </c>
      <c r="G145" s="10"/>
      <c r="H145" s="41"/>
      <c r="I145" s="10"/>
    </row>
    <row r="146" customFormat="false" ht="18" hidden="false" customHeight="true" outlineLevel="0" collapsed="false">
      <c r="B146" s="42"/>
      <c r="C146" s="13"/>
      <c r="D146" s="14"/>
      <c r="E146" s="17"/>
      <c r="F146" s="44" t="str">
        <f aca="false">IF(OR(D146="",E146=""),"",D146*E146)</f>
        <v/>
      </c>
      <c r="G146" s="13"/>
      <c r="H146" s="43"/>
      <c r="I146" s="13"/>
    </row>
    <row r="147" customFormat="false" ht="18" hidden="false" customHeight="true" outlineLevel="0" collapsed="false">
      <c r="B147" s="40"/>
      <c r="C147" s="10"/>
      <c r="D147" s="11"/>
      <c r="E147" s="18"/>
      <c r="F147" s="35" t="str">
        <f aca="false">IF(OR(D147="",E147=""),"",D147*E147)</f>
        <v/>
      </c>
      <c r="G147" s="10"/>
      <c r="H147" s="41"/>
      <c r="I147" s="10"/>
    </row>
    <row r="148" customFormat="false" ht="18" hidden="false" customHeight="true" outlineLevel="0" collapsed="false">
      <c r="B148" s="42"/>
      <c r="C148" s="13"/>
      <c r="D148" s="14"/>
      <c r="E148" s="17"/>
      <c r="F148" s="44" t="str">
        <f aca="false">IF(OR(D148="",E148=""),"",D148*E148)</f>
        <v/>
      </c>
      <c r="G148" s="13"/>
      <c r="H148" s="43"/>
      <c r="I148" s="13"/>
    </row>
    <row r="149" customFormat="false" ht="18" hidden="false" customHeight="true" outlineLevel="0" collapsed="false">
      <c r="B149" s="40"/>
      <c r="C149" s="10"/>
      <c r="D149" s="11"/>
      <c r="E149" s="18"/>
      <c r="F149" s="35" t="str">
        <f aca="false">IF(OR(D149="",E149=""),"",D149*E149)</f>
        <v/>
      </c>
      <c r="G149" s="10"/>
      <c r="H149" s="41"/>
      <c r="I149" s="10"/>
    </row>
    <row r="150" customFormat="false" ht="18" hidden="false" customHeight="true" outlineLevel="0" collapsed="false">
      <c r="B150" s="42"/>
      <c r="C150" s="13"/>
      <c r="D150" s="14"/>
      <c r="E150" s="17"/>
      <c r="F150" s="44" t="str">
        <f aca="false">IF(OR(D150="",E150=""),"",D150*E150)</f>
        <v/>
      </c>
      <c r="G150" s="13"/>
      <c r="H150" s="43"/>
      <c r="I150" s="13"/>
    </row>
    <row r="151" customFormat="false" ht="18" hidden="false" customHeight="true" outlineLevel="0" collapsed="false">
      <c r="B151" s="40"/>
      <c r="C151" s="10"/>
      <c r="D151" s="11"/>
      <c r="E151" s="18"/>
      <c r="F151" s="35" t="str">
        <f aca="false">IF(OR(D151="",E151=""),"",D151*E151)</f>
        <v/>
      </c>
      <c r="G151" s="10"/>
      <c r="H151" s="41"/>
      <c r="I151" s="10"/>
    </row>
    <row r="152" customFormat="false" ht="18" hidden="false" customHeight="true" outlineLevel="0" collapsed="false">
      <c r="B152" s="42"/>
      <c r="C152" s="13"/>
      <c r="D152" s="14"/>
      <c r="E152" s="17"/>
      <c r="F152" s="44" t="str">
        <f aca="false">IF(OR(D152="",E152=""),"",D152*E152)</f>
        <v/>
      </c>
      <c r="G152" s="13"/>
      <c r="H152" s="43"/>
      <c r="I152" s="13"/>
    </row>
    <row r="153" customFormat="false" ht="18" hidden="false" customHeight="true" outlineLevel="0" collapsed="false">
      <c r="B153" s="40"/>
      <c r="C153" s="10"/>
      <c r="D153" s="11"/>
      <c r="E153" s="18"/>
      <c r="F153" s="35" t="str">
        <f aca="false">IF(OR(D153="",E153=""),"",D153*E153)</f>
        <v/>
      </c>
      <c r="G153" s="10"/>
      <c r="H153" s="41"/>
      <c r="I153" s="10"/>
    </row>
    <row r="154" customFormat="false" ht="18" hidden="false" customHeight="true" outlineLevel="0" collapsed="false">
      <c r="B154" s="42"/>
      <c r="C154" s="13"/>
      <c r="D154" s="14"/>
      <c r="E154" s="17"/>
      <c r="F154" s="44" t="str">
        <f aca="false">IF(OR(D154="",E154=""),"",D154*E154)</f>
        <v/>
      </c>
      <c r="G154" s="13"/>
      <c r="H154" s="43"/>
      <c r="I154" s="13"/>
    </row>
    <row r="155" customFormat="false" ht="18" hidden="false" customHeight="true" outlineLevel="0" collapsed="false">
      <c r="B155" s="40"/>
      <c r="C155" s="10"/>
      <c r="D155" s="11"/>
      <c r="E155" s="18"/>
      <c r="F155" s="35" t="str">
        <f aca="false">IF(OR(D155="",E155=""),"",D155*E155)</f>
        <v/>
      </c>
      <c r="G155" s="10"/>
      <c r="H155" s="41"/>
      <c r="I155" s="10"/>
    </row>
    <row r="156" customFormat="false" ht="18" hidden="false" customHeight="true" outlineLevel="0" collapsed="false">
      <c r="B156" s="42"/>
      <c r="C156" s="13"/>
      <c r="D156" s="14"/>
      <c r="E156" s="17"/>
      <c r="F156" s="44" t="str">
        <f aca="false">IF(OR(D156="",E156=""),"",D156*E156)</f>
        <v/>
      </c>
      <c r="G156" s="13"/>
      <c r="H156" s="43"/>
      <c r="I156" s="13"/>
    </row>
    <row r="157" customFormat="false" ht="18" hidden="false" customHeight="true" outlineLevel="0" collapsed="false">
      <c r="B157" s="40"/>
      <c r="C157" s="10"/>
      <c r="D157" s="11"/>
      <c r="E157" s="18"/>
      <c r="F157" s="35" t="str">
        <f aca="false">IF(OR(D157="",E157=""),"",D157*E157)</f>
        <v/>
      </c>
      <c r="G157" s="10"/>
      <c r="H157" s="41"/>
      <c r="I157" s="10"/>
    </row>
    <row r="158" customFormat="false" ht="18" hidden="false" customHeight="true" outlineLevel="0" collapsed="false">
      <c r="B158" s="42"/>
      <c r="C158" s="13"/>
      <c r="D158" s="14"/>
      <c r="E158" s="17"/>
      <c r="F158" s="44" t="str">
        <f aca="false">IF(OR(D158="",E158=""),"",D158*E158)</f>
        <v/>
      </c>
      <c r="G158" s="13"/>
      <c r="H158" s="43"/>
      <c r="I158" s="13"/>
    </row>
    <row r="159" customFormat="false" ht="18" hidden="false" customHeight="true" outlineLevel="0" collapsed="false">
      <c r="B159" s="40"/>
      <c r="C159" s="10"/>
      <c r="D159" s="11"/>
      <c r="E159" s="18"/>
      <c r="F159" s="35" t="str">
        <f aca="false">IF(OR(D159="",E159=""),"",D159*E159)</f>
        <v/>
      </c>
      <c r="G159" s="10"/>
      <c r="H159" s="41"/>
      <c r="I159" s="10"/>
    </row>
    <row r="160" customFormat="false" ht="18" hidden="false" customHeight="true" outlineLevel="0" collapsed="false">
      <c r="B160" s="42"/>
      <c r="C160" s="13"/>
      <c r="D160" s="14"/>
      <c r="E160" s="17"/>
      <c r="F160" s="44" t="str">
        <f aca="false">IF(OR(D160="",E160=""),"",D160*E160)</f>
        <v/>
      </c>
      <c r="G160" s="13"/>
      <c r="H160" s="43"/>
      <c r="I160" s="13"/>
    </row>
    <row r="161" customFormat="false" ht="18" hidden="false" customHeight="true" outlineLevel="0" collapsed="false">
      <c r="B161" s="40"/>
      <c r="C161" s="10"/>
      <c r="D161" s="11"/>
      <c r="E161" s="18"/>
      <c r="F161" s="35" t="str">
        <f aca="false">IF(OR(D161="",E161=""),"",D161*E161)</f>
        <v/>
      </c>
      <c r="G161" s="10"/>
      <c r="H161" s="41"/>
      <c r="I161" s="10"/>
    </row>
    <row r="162" customFormat="false" ht="18" hidden="false" customHeight="true" outlineLevel="0" collapsed="false">
      <c r="B162" s="42"/>
      <c r="C162" s="13"/>
      <c r="D162" s="14"/>
      <c r="E162" s="17"/>
      <c r="F162" s="44" t="str">
        <f aca="false">IF(OR(D162="",E162=""),"",D162*E162)</f>
        <v/>
      </c>
      <c r="G162" s="13"/>
      <c r="H162" s="43"/>
      <c r="I162" s="13"/>
    </row>
    <row r="163" customFormat="false" ht="18" hidden="false" customHeight="true" outlineLevel="0" collapsed="false">
      <c r="B163" s="40"/>
      <c r="C163" s="10"/>
      <c r="D163" s="11"/>
      <c r="E163" s="18"/>
      <c r="F163" s="35" t="str">
        <f aca="false">IF(OR(D163="",E163=""),"",D163*E163)</f>
        <v/>
      </c>
      <c r="G163" s="10"/>
      <c r="H163" s="41"/>
      <c r="I163" s="10"/>
    </row>
    <row r="164" customFormat="false" ht="18" hidden="false" customHeight="true" outlineLevel="0" collapsed="false">
      <c r="B164" s="42"/>
      <c r="C164" s="13"/>
      <c r="D164" s="14"/>
      <c r="E164" s="17"/>
      <c r="F164" s="44" t="str">
        <f aca="false">IF(OR(D164="",E164=""),"",D164*E164)</f>
        <v/>
      </c>
      <c r="G164" s="13"/>
      <c r="H164" s="43"/>
      <c r="I164" s="13"/>
    </row>
    <row r="165" customFormat="false" ht="18" hidden="false" customHeight="true" outlineLevel="0" collapsed="false">
      <c r="B165" s="40"/>
      <c r="C165" s="10"/>
      <c r="D165" s="11"/>
      <c r="E165" s="18"/>
      <c r="F165" s="35" t="str">
        <f aca="false">IF(OR(D165="",E165=""),"",D165*E165)</f>
        <v/>
      </c>
      <c r="G165" s="10"/>
      <c r="H165" s="41"/>
      <c r="I165" s="10"/>
    </row>
    <row r="166" customFormat="false" ht="18" hidden="false" customHeight="true" outlineLevel="0" collapsed="false">
      <c r="B166" s="42"/>
      <c r="C166" s="13"/>
      <c r="D166" s="14"/>
      <c r="E166" s="17"/>
      <c r="F166" s="44" t="str">
        <f aca="false">IF(OR(D166="",E166=""),"",D166*E166)</f>
        <v/>
      </c>
      <c r="G166" s="13"/>
      <c r="H166" s="43"/>
      <c r="I166" s="13"/>
    </row>
    <row r="167" customFormat="false" ht="18" hidden="false" customHeight="true" outlineLevel="0" collapsed="false">
      <c r="B167" s="40"/>
      <c r="C167" s="10"/>
      <c r="D167" s="11"/>
      <c r="E167" s="18"/>
      <c r="F167" s="35" t="str">
        <f aca="false">IF(OR(D167="",E167=""),"",D167*E167)</f>
        <v/>
      </c>
      <c r="G167" s="10"/>
      <c r="H167" s="41"/>
      <c r="I167" s="10"/>
    </row>
    <row r="168" customFormat="false" ht="18" hidden="false" customHeight="true" outlineLevel="0" collapsed="false">
      <c r="B168" s="42"/>
      <c r="C168" s="13"/>
      <c r="D168" s="14"/>
      <c r="E168" s="17"/>
      <c r="F168" s="44" t="str">
        <f aca="false">IF(OR(D168="",E168=""),"",D168*E168)</f>
        <v/>
      </c>
      <c r="G168" s="13"/>
      <c r="H168" s="43"/>
      <c r="I168" s="13"/>
    </row>
    <row r="169" customFormat="false" ht="18" hidden="false" customHeight="true" outlineLevel="0" collapsed="false">
      <c r="B169" s="40"/>
      <c r="C169" s="10"/>
      <c r="D169" s="11"/>
      <c r="E169" s="18"/>
      <c r="F169" s="35" t="str">
        <f aca="false">IF(OR(D169="",E169=""),"",D169*E169)</f>
        <v/>
      </c>
      <c r="G169" s="10"/>
      <c r="H169" s="41"/>
      <c r="I169" s="10"/>
    </row>
    <row r="170" customFormat="false" ht="18" hidden="false" customHeight="true" outlineLevel="0" collapsed="false">
      <c r="B170" s="42"/>
      <c r="C170" s="13"/>
      <c r="D170" s="14"/>
      <c r="E170" s="17"/>
      <c r="F170" s="44" t="str">
        <f aca="false">IF(OR(D170="",E170=""),"",D170*E170)</f>
        <v/>
      </c>
      <c r="G170" s="13"/>
      <c r="H170" s="43"/>
      <c r="I170" s="13"/>
    </row>
    <row r="171" customFormat="false" ht="18" hidden="false" customHeight="true" outlineLevel="0" collapsed="false">
      <c r="B171" s="40"/>
      <c r="C171" s="10"/>
      <c r="D171" s="11"/>
      <c r="E171" s="18"/>
      <c r="F171" s="35" t="str">
        <f aca="false">IF(OR(D171="",E171=""),"",D171*E171)</f>
        <v/>
      </c>
      <c r="G171" s="10"/>
      <c r="H171" s="41"/>
      <c r="I171" s="10"/>
    </row>
    <row r="172" customFormat="false" ht="18" hidden="false" customHeight="true" outlineLevel="0" collapsed="false">
      <c r="B172" s="42"/>
      <c r="C172" s="13"/>
      <c r="D172" s="14"/>
      <c r="E172" s="17"/>
      <c r="F172" s="44" t="str">
        <f aca="false">IF(OR(D172="",E172=""),"",D172*E172)</f>
        <v/>
      </c>
      <c r="G172" s="13"/>
      <c r="H172" s="43"/>
      <c r="I172" s="13"/>
    </row>
    <row r="173" customFormat="false" ht="18" hidden="false" customHeight="true" outlineLevel="0" collapsed="false">
      <c r="B173" s="40"/>
      <c r="C173" s="10"/>
      <c r="D173" s="11"/>
      <c r="E173" s="18"/>
      <c r="F173" s="35" t="str">
        <f aca="false">IF(OR(D173="",E173=""),"",D173*E173)</f>
        <v/>
      </c>
      <c r="G173" s="10"/>
      <c r="H173" s="41"/>
      <c r="I173" s="10"/>
    </row>
    <row r="174" customFormat="false" ht="18" hidden="false" customHeight="true" outlineLevel="0" collapsed="false">
      <c r="B174" s="42"/>
      <c r="C174" s="13"/>
      <c r="D174" s="14"/>
      <c r="E174" s="17"/>
      <c r="F174" s="44" t="str">
        <f aca="false">IF(OR(D174="",E174=""),"",D174*E174)</f>
        <v/>
      </c>
      <c r="G174" s="13"/>
      <c r="H174" s="43"/>
      <c r="I174" s="13"/>
    </row>
    <row r="175" customFormat="false" ht="18" hidden="false" customHeight="true" outlineLevel="0" collapsed="false">
      <c r="B175" s="40"/>
      <c r="C175" s="10"/>
      <c r="D175" s="11"/>
      <c r="E175" s="18"/>
      <c r="F175" s="35" t="str">
        <f aca="false">IF(OR(D175="",E175=""),"",D175*E175)</f>
        <v/>
      </c>
      <c r="G175" s="10"/>
      <c r="H175" s="41"/>
      <c r="I175" s="10"/>
    </row>
    <row r="176" customFormat="false" ht="18" hidden="false" customHeight="true" outlineLevel="0" collapsed="false">
      <c r="B176" s="42"/>
      <c r="C176" s="13"/>
      <c r="D176" s="14"/>
      <c r="E176" s="17"/>
      <c r="F176" s="44" t="str">
        <f aca="false">IF(OR(D176="",E176=""),"",D176*E176)</f>
        <v/>
      </c>
      <c r="G176" s="13"/>
      <c r="H176" s="43"/>
      <c r="I176" s="13"/>
    </row>
    <row r="177" customFormat="false" ht="18" hidden="false" customHeight="true" outlineLevel="0" collapsed="false">
      <c r="B177" s="40"/>
      <c r="C177" s="10"/>
      <c r="D177" s="11"/>
      <c r="E177" s="18"/>
      <c r="F177" s="35" t="str">
        <f aca="false">IF(OR(D177="",E177=""),"",D177*E177)</f>
        <v/>
      </c>
      <c r="G177" s="10"/>
      <c r="H177" s="41"/>
      <c r="I177" s="10"/>
    </row>
    <row r="178" customFormat="false" ht="18" hidden="false" customHeight="true" outlineLevel="0" collapsed="false">
      <c r="B178" s="42"/>
      <c r="C178" s="13"/>
      <c r="D178" s="14"/>
      <c r="E178" s="17"/>
      <c r="F178" s="44" t="str">
        <f aca="false">IF(OR(D178="",E178=""),"",D178*E178)</f>
        <v/>
      </c>
      <c r="G178" s="13"/>
      <c r="H178" s="43"/>
      <c r="I178" s="13"/>
    </row>
    <row r="179" customFormat="false" ht="18" hidden="false" customHeight="true" outlineLevel="0" collapsed="false">
      <c r="B179" s="40"/>
      <c r="C179" s="10"/>
      <c r="D179" s="11"/>
      <c r="E179" s="18"/>
      <c r="F179" s="35" t="str">
        <f aca="false">IF(OR(D179="",E179=""),"",D179*E179)</f>
        <v/>
      </c>
      <c r="G179" s="10"/>
      <c r="H179" s="41"/>
      <c r="I179" s="10"/>
    </row>
    <row r="180" customFormat="false" ht="18" hidden="false" customHeight="true" outlineLevel="0" collapsed="false">
      <c r="B180" s="42"/>
      <c r="C180" s="13"/>
      <c r="D180" s="14"/>
      <c r="E180" s="17"/>
      <c r="F180" s="44" t="str">
        <f aca="false">IF(OR(D180="",E180=""),"",D180*E180)</f>
        <v/>
      </c>
      <c r="G180" s="13"/>
      <c r="H180" s="43"/>
      <c r="I180" s="13"/>
    </row>
    <row r="181" customFormat="false" ht="18" hidden="false" customHeight="true" outlineLevel="0" collapsed="false">
      <c r="B181" s="40"/>
      <c r="C181" s="10"/>
      <c r="D181" s="11"/>
      <c r="E181" s="18"/>
      <c r="F181" s="35" t="str">
        <f aca="false">IF(OR(D181="",E181=""),"",D181*E181)</f>
        <v/>
      </c>
      <c r="G181" s="10"/>
      <c r="H181" s="41"/>
      <c r="I181" s="10"/>
    </row>
    <row r="182" customFormat="false" ht="18" hidden="false" customHeight="true" outlineLevel="0" collapsed="false">
      <c r="B182" s="42"/>
      <c r="C182" s="13"/>
      <c r="D182" s="14"/>
      <c r="E182" s="17"/>
      <c r="F182" s="44" t="str">
        <f aca="false">IF(OR(D182="",E182=""),"",D182*E182)</f>
        <v/>
      </c>
      <c r="G182" s="13"/>
      <c r="H182" s="43"/>
      <c r="I182" s="13"/>
    </row>
    <row r="183" customFormat="false" ht="18" hidden="false" customHeight="true" outlineLevel="0" collapsed="false">
      <c r="B183" s="40"/>
      <c r="C183" s="10"/>
      <c r="D183" s="11"/>
      <c r="E183" s="18"/>
      <c r="F183" s="35" t="str">
        <f aca="false">IF(OR(D183="",E183=""),"",D183*E183)</f>
        <v/>
      </c>
      <c r="G183" s="10"/>
      <c r="H183" s="41"/>
      <c r="I183" s="10"/>
    </row>
    <row r="184" customFormat="false" ht="18" hidden="false" customHeight="true" outlineLevel="0" collapsed="false">
      <c r="B184" s="42"/>
      <c r="C184" s="13"/>
      <c r="D184" s="14"/>
      <c r="E184" s="17"/>
      <c r="F184" s="44" t="str">
        <f aca="false">IF(OR(D184="",E184=""),"",D184*E184)</f>
        <v/>
      </c>
      <c r="G184" s="13"/>
      <c r="H184" s="43"/>
      <c r="I184" s="13"/>
    </row>
    <row r="185" customFormat="false" ht="18" hidden="false" customHeight="true" outlineLevel="0" collapsed="false">
      <c r="B185" s="40"/>
      <c r="C185" s="10"/>
      <c r="D185" s="11"/>
      <c r="E185" s="18"/>
      <c r="F185" s="35" t="str">
        <f aca="false">IF(OR(D185="",E185=""),"",D185*E185)</f>
        <v/>
      </c>
      <c r="G185" s="10"/>
      <c r="H185" s="41"/>
      <c r="I185" s="10"/>
    </row>
    <row r="186" customFormat="false" ht="18" hidden="false" customHeight="true" outlineLevel="0" collapsed="false">
      <c r="B186" s="42"/>
      <c r="C186" s="13"/>
      <c r="D186" s="14"/>
      <c r="E186" s="17"/>
      <c r="F186" s="44" t="str">
        <f aca="false">IF(OR(D186="",E186=""),"",D186*E186)</f>
        <v/>
      </c>
      <c r="G186" s="13"/>
      <c r="H186" s="43"/>
      <c r="I186" s="13"/>
    </row>
    <row r="187" customFormat="false" ht="18" hidden="false" customHeight="true" outlineLevel="0" collapsed="false">
      <c r="B187" s="40"/>
      <c r="C187" s="10"/>
      <c r="D187" s="11"/>
      <c r="E187" s="18"/>
      <c r="F187" s="35" t="str">
        <f aca="false">IF(OR(D187="",E187=""),"",D187*E187)</f>
        <v/>
      </c>
      <c r="G187" s="10"/>
      <c r="H187" s="41"/>
      <c r="I187" s="10"/>
    </row>
    <row r="188" customFormat="false" ht="18" hidden="false" customHeight="true" outlineLevel="0" collapsed="false">
      <c r="B188" s="42"/>
      <c r="C188" s="13"/>
      <c r="D188" s="14"/>
      <c r="E188" s="17"/>
      <c r="F188" s="44" t="str">
        <f aca="false">IF(OR(D188="",E188=""),"",D188*E188)</f>
        <v/>
      </c>
      <c r="G188" s="13"/>
      <c r="H188" s="43"/>
      <c r="I188" s="13"/>
    </row>
    <row r="189" customFormat="false" ht="18" hidden="false" customHeight="true" outlineLevel="0" collapsed="false">
      <c r="B189" s="40"/>
      <c r="C189" s="10"/>
      <c r="D189" s="11"/>
      <c r="E189" s="18"/>
      <c r="F189" s="35" t="str">
        <f aca="false">IF(OR(D189="",E189=""),"",D189*E189)</f>
        <v/>
      </c>
      <c r="G189" s="10"/>
      <c r="H189" s="41"/>
      <c r="I189" s="10"/>
    </row>
    <row r="190" customFormat="false" ht="18" hidden="false" customHeight="true" outlineLevel="0" collapsed="false">
      <c r="B190" s="42"/>
      <c r="C190" s="13"/>
      <c r="D190" s="14"/>
      <c r="E190" s="17"/>
      <c r="F190" s="44" t="str">
        <f aca="false">IF(OR(D190="",E190=""),"",D190*E190)</f>
        <v/>
      </c>
      <c r="G190" s="13"/>
      <c r="H190" s="43"/>
      <c r="I190" s="13"/>
    </row>
    <row r="191" customFormat="false" ht="18" hidden="false" customHeight="true" outlineLevel="0" collapsed="false">
      <c r="B191" s="40"/>
      <c r="C191" s="10"/>
      <c r="D191" s="11"/>
      <c r="E191" s="18"/>
      <c r="F191" s="35" t="str">
        <f aca="false">IF(OR(D191="",E191=""),"",D191*E191)</f>
        <v/>
      </c>
      <c r="G191" s="10"/>
      <c r="H191" s="41"/>
      <c r="I191" s="10"/>
    </row>
    <row r="192" customFormat="false" ht="18" hidden="false" customHeight="true" outlineLevel="0" collapsed="false">
      <c r="B192" s="42"/>
      <c r="C192" s="13"/>
      <c r="D192" s="14"/>
      <c r="E192" s="17"/>
      <c r="F192" s="44" t="str">
        <f aca="false">IF(OR(D192="",E192=""),"",D192*E192)</f>
        <v/>
      </c>
      <c r="G192" s="13"/>
      <c r="H192" s="43"/>
      <c r="I192" s="13"/>
    </row>
    <row r="193" customFormat="false" ht="18" hidden="false" customHeight="true" outlineLevel="0" collapsed="false">
      <c r="B193" s="40"/>
      <c r="C193" s="10"/>
      <c r="D193" s="11"/>
      <c r="E193" s="18"/>
      <c r="F193" s="35" t="str">
        <f aca="false">IF(OR(D193="",E193=""),"",D193*E193)</f>
        <v/>
      </c>
      <c r="G193" s="10"/>
      <c r="H193" s="41"/>
      <c r="I193" s="10"/>
    </row>
    <row r="194" customFormat="false" ht="18" hidden="false" customHeight="true" outlineLevel="0" collapsed="false">
      <c r="B194" s="42"/>
      <c r="C194" s="13"/>
      <c r="D194" s="14"/>
      <c r="E194" s="17"/>
      <c r="F194" s="44" t="str">
        <f aca="false">IF(OR(D194="",E194=""),"",D194*E194)</f>
        <v/>
      </c>
      <c r="G194" s="13"/>
      <c r="H194" s="43"/>
      <c r="I194" s="13"/>
    </row>
    <row r="195" customFormat="false" ht="18" hidden="false" customHeight="true" outlineLevel="0" collapsed="false">
      <c r="B195" s="40"/>
      <c r="C195" s="10"/>
      <c r="D195" s="11"/>
      <c r="E195" s="18"/>
      <c r="F195" s="35" t="str">
        <f aca="false">IF(OR(D195="",E195=""),"",D195*E195)</f>
        <v/>
      </c>
      <c r="G195" s="10"/>
      <c r="H195" s="41"/>
      <c r="I195" s="10"/>
    </row>
    <row r="196" customFormat="false" ht="18" hidden="false" customHeight="true" outlineLevel="0" collapsed="false">
      <c r="B196" s="42"/>
      <c r="C196" s="13"/>
      <c r="D196" s="14"/>
      <c r="E196" s="17"/>
      <c r="F196" s="44" t="str">
        <f aca="false">IF(OR(D196="",E196=""),"",D196*E196)</f>
        <v/>
      </c>
      <c r="G196" s="13"/>
      <c r="H196" s="43"/>
      <c r="I196" s="13"/>
    </row>
    <row r="197" customFormat="false" ht="18" hidden="false" customHeight="true" outlineLevel="0" collapsed="false">
      <c r="B197" s="40"/>
      <c r="C197" s="10"/>
      <c r="D197" s="11"/>
      <c r="E197" s="18"/>
      <c r="F197" s="35" t="str">
        <f aca="false">IF(OR(D197="",E197=""),"",D197*E197)</f>
        <v/>
      </c>
      <c r="G197" s="10"/>
      <c r="H197" s="41"/>
      <c r="I197" s="10"/>
    </row>
    <row r="198" customFormat="false" ht="18" hidden="false" customHeight="true" outlineLevel="0" collapsed="false">
      <c r="B198" s="42"/>
      <c r="C198" s="13"/>
      <c r="D198" s="14"/>
      <c r="E198" s="17"/>
      <c r="F198" s="44" t="str">
        <f aca="false">IF(OR(D198="",E198=""),"",D198*E198)</f>
        <v/>
      </c>
      <c r="G198" s="13"/>
      <c r="H198" s="43"/>
      <c r="I198" s="13"/>
    </row>
    <row r="199" customFormat="false" ht="18" hidden="false" customHeight="true" outlineLevel="0" collapsed="false">
      <c r="B199" s="40"/>
      <c r="C199" s="10"/>
      <c r="D199" s="11"/>
      <c r="E199" s="18"/>
      <c r="F199" s="35" t="str">
        <f aca="false">IF(OR(D199="",E199=""),"",D199*E199)</f>
        <v/>
      </c>
      <c r="G199" s="10"/>
      <c r="H199" s="41"/>
      <c r="I199" s="10"/>
    </row>
    <row r="200" customFormat="false" ht="18" hidden="false" customHeight="true" outlineLevel="0" collapsed="false">
      <c r="B200" s="42"/>
      <c r="C200" s="13"/>
      <c r="D200" s="14"/>
      <c r="E200" s="17"/>
      <c r="F200" s="44" t="str">
        <f aca="false">IF(OR(D200="",E200=""),"",D200*E200)</f>
        <v/>
      </c>
      <c r="G200" s="13"/>
      <c r="H200" s="43"/>
      <c r="I200" s="13"/>
    </row>
    <row r="201" customFormat="false" ht="18" hidden="false" customHeight="true" outlineLevel="0" collapsed="false">
      <c r="B201" s="40"/>
      <c r="C201" s="10"/>
      <c r="D201" s="11"/>
      <c r="E201" s="18"/>
      <c r="F201" s="35" t="str">
        <f aca="false">IF(OR(D201="",E201=""),"",D201*E201)</f>
        <v/>
      </c>
      <c r="G201" s="10"/>
      <c r="H201" s="41"/>
      <c r="I201" s="10"/>
    </row>
    <row r="202" customFormat="false" ht="18" hidden="false" customHeight="true" outlineLevel="0" collapsed="false">
      <c r="B202" s="42"/>
      <c r="C202" s="13"/>
      <c r="D202" s="14"/>
      <c r="E202" s="17"/>
      <c r="F202" s="44" t="str">
        <f aca="false">IF(OR(D202="",E202=""),"",D202*E202)</f>
        <v/>
      </c>
      <c r="G202" s="13"/>
      <c r="H202" s="43"/>
      <c r="I202" s="13"/>
    </row>
    <row r="203" customFormat="false" ht="18" hidden="false" customHeight="true" outlineLevel="0" collapsed="false">
      <c r="B203" s="40"/>
      <c r="C203" s="10"/>
      <c r="D203" s="11"/>
      <c r="E203" s="18"/>
      <c r="F203" s="35" t="str">
        <f aca="false">IF(OR(D203="",E203=""),"",D203*E203)</f>
        <v/>
      </c>
      <c r="G203" s="10"/>
      <c r="H203" s="41"/>
      <c r="I203" s="10"/>
    </row>
    <row r="204" customFormat="false" ht="18" hidden="false" customHeight="true" outlineLevel="0" collapsed="false">
      <c r="B204" s="42"/>
      <c r="C204" s="13"/>
      <c r="D204" s="14"/>
      <c r="E204" s="17"/>
      <c r="F204" s="44" t="str">
        <f aca="false">IF(OR(D204="",E204=""),"",D204*E204)</f>
        <v/>
      </c>
      <c r="G204" s="13"/>
      <c r="H204" s="43"/>
      <c r="I204" s="13"/>
    </row>
    <row r="205" customFormat="false" ht="18" hidden="false" customHeight="true" outlineLevel="0" collapsed="false">
      <c r="B205" s="40"/>
      <c r="C205" s="10"/>
      <c r="D205" s="11"/>
      <c r="E205" s="18"/>
      <c r="F205" s="35" t="str">
        <f aca="false">IF(OR(D205="",E205=""),"",D205*E205)</f>
        <v/>
      </c>
      <c r="G205" s="10"/>
      <c r="H205" s="41"/>
      <c r="I205" s="10"/>
    </row>
    <row r="206" customFormat="false" ht="18" hidden="false" customHeight="true" outlineLevel="0" collapsed="false">
      <c r="B206" s="42"/>
      <c r="C206" s="13"/>
      <c r="D206" s="14"/>
      <c r="E206" s="17"/>
      <c r="F206" s="44" t="str">
        <f aca="false">IF(OR(D206="",E206=""),"",D206*E206)</f>
        <v/>
      </c>
      <c r="G206" s="13"/>
      <c r="H206" s="43"/>
      <c r="I206" s="13"/>
    </row>
    <row r="207" customFormat="false" ht="18" hidden="false" customHeight="true" outlineLevel="0" collapsed="false">
      <c r="B207" s="40"/>
      <c r="C207" s="10"/>
      <c r="D207" s="11"/>
      <c r="E207" s="18"/>
      <c r="F207" s="35" t="str">
        <f aca="false">IF(OR(D207="",E207=""),"",D207*E207)</f>
        <v/>
      </c>
      <c r="G207" s="10"/>
      <c r="H207" s="41"/>
      <c r="I207" s="10"/>
    </row>
    <row r="208" customFormat="false" ht="18" hidden="false" customHeight="true" outlineLevel="0" collapsed="false">
      <c r="B208" s="42"/>
      <c r="C208" s="13"/>
      <c r="D208" s="14"/>
      <c r="E208" s="17"/>
      <c r="F208" s="44" t="str">
        <f aca="false">IF(OR(D208="",E208=""),"",D208*E208)</f>
        <v/>
      </c>
      <c r="G208" s="13"/>
      <c r="H208" s="43"/>
      <c r="I208" s="13"/>
    </row>
    <row r="209" customFormat="false" ht="18" hidden="false" customHeight="true" outlineLevel="0" collapsed="false">
      <c r="B209" s="40"/>
      <c r="C209" s="10"/>
      <c r="D209" s="11"/>
      <c r="E209" s="18"/>
      <c r="F209" s="35" t="str">
        <f aca="false">IF(OR(D209="",E209=""),"",D209*E209)</f>
        <v/>
      </c>
      <c r="G209" s="10"/>
      <c r="H209" s="41"/>
      <c r="I209" s="10"/>
    </row>
    <row r="210" customFormat="false" ht="18" hidden="false" customHeight="true" outlineLevel="0" collapsed="false">
      <c r="B210" s="42"/>
      <c r="C210" s="13"/>
      <c r="D210" s="14"/>
      <c r="E210" s="17"/>
      <c r="F210" s="44" t="str">
        <f aca="false">IF(OR(D210="",E210=""),"",D210*E210)</f>
        <v/>
      </c>
      <c r="G210" s="13"/>
      <c r="H210" s="43"/>
      <c r="I210" s="13"/>
    </row>
    <row r="211" customFormat="false" ht="18" hidden="false" customHeight="true" outlineLevel="0" collapsed="false">
      <c r="B211" s="40"/>
      <c r="C211" s="10"/>
      <c r="D211" s="11"/>
      <c r="E211" s="18"/>
      <c r="F211" s="35" t="str">
        <f aca="false">IF(OR(D211="",E211=""),"",D211*E211)</f>
        <v/>
      </c>
      <c r="G211" s="10"/>
      <c r="H211" s="41"/>
      <c r="I211" s="10"/>
    </row>
    <row r="212" customFormat="false" ht="18" hidden="false" customHeight="true" outlineLevel="0" collapsed="false">
      <c r="B212" s="42"/>
      <c r="C212" s="13"/>
      <c r="D212" s="14"/>
      <c r="E212" s="17"/>
      <c r="F212" s="44" t="str">
        <f aca="false">IF(OR(D212="",E212=""),"",D212*E212)</f>
        <v/>
      </c>
      <c r="G212" s="13"/>
      <c r="H212" s="43"/>
      <c r="I212" s="13"/>
    </row>
    <row r="213" customFormat="false" ht="18" hidden="false" customHeight="true" outlineLevel="0" collapsed="false">
      <c r="B213" s="40"/>
      <c r="C213" s="10"/>
      <c r="D213" s="11"/>
      <c r="E213" s="18"/>
      <c r="F213" s="35" t="str">
        <f aca="false">IF(OR(D213="",E213=""),"",D213*E213)</f>
        <v/>
      </c>
      <c r="G213" s="10"/>
      <c r="H213" s="41"/>
      <c r="I213" s="10"/>
    </row>
    <row r="214" customFormat="false" ht="18" hidden="false" customHeight="true" outlineLevel="0" collapsed="false">
      <c r="B214" s="42"/>
      <c r="C214" s="13"/>
      <c r="D214" s="14"/>
      <c r="E214" s="17"/>
      <c r="F214" s="44" t="str">
        <f aca="false">IF(OR(D214="",E214=""),"",D214*E214)</f>
        <v/>
      </c>
      <c r="G214" s="13"/>
      <c r="H214" s="43"/>
      <c r="I214" s="13"/>
    </row>
    <row r="215" customFormat="false" ht="18" hidden="false" customHeight="true" outlineLevel="0" collapsed="false">
      <c r="B215" s="40"/>
      <c r="C215" s="10"/>
      <c r="D215" s="11"/>
      <c r="E215" s="18"/>
      <c r="F215" s="35" t="str">
        <f aca="false">IF(OR(D215="",E215=""),"",D215*E215)</f>
        <v/>
      </c>
      <c r="G215" s="10"/>
      <c r="H215" s="41"/>
      <c r="I215" s="10"/>
    </row>
    <row r="216" customFormat="false" ht="18" hidden="false" customHeight="true" outlineLevel="0" collapsed="false">
      <c r="B216" s="42"/>
      <c r="C216" s="13"/>
      <c r="D216" s="14"/>
      <c r="E216" s="17"/>
      <c r="F216" s="44" t="str">
        <f aca="false">IF(OR(D216="",E216=""),"",D216*E216)</f>
        <v/>
      </c>
      <c r="G216" s="13"/>
      <c r="H216" s="43"/>
      <c r="I216" s="13"/>
    </row>
    <row r="217" customFormat="false" ht="18" hidden="false" customHeight="true" outlineLevel="0" collapsed="false">
      <c r="B217" s="40"/>
      <c r="C217" s="10"/>
      <c r="D217" s="11"/>
      <c r="E217" s="18"/>
      <c r="F217" s="35" t="str">
        <f aca="false">IF(OR(D217="",E217=""),"",D217*E217)</f>
        <v/>
      </c>
      <c r="G217" s="10"/>
      <c r="H217" s="41"/>
      <c r="I217" s="10"/>
    </row>
    <row r="218" customFormat="false" ht="18" hidden="false" customHeight="true" outlineLevel="0" collapsed="false">
      <c r="B218" s="42"/>
      <c r="C218" s="13"/>
      <c r="D218" s="14"/>
      <c r="E218" s="17"/>
      <c r="F218" s="44" t="str">
        <f aca="false">IF(OR(D218="",E218=""),"",D218*E218)</f>
        <v/>
      </c>
      <c r="G218" s="13"/>
      <c r="H218" s="43"/>
      <c r="I218" s="13"/>
    </row>
    <row r="219" customFormat="false" ht="18" hidden="false" customHeight="true" outlineLevel="0" collapsed="false">
      <c r="B219" s="40"/>
      <c r="C219" s="10"/>
      <c r="D219" s="11"/>
      <c r="E219" s="18"/>
      <c r="F219" s="35" t="str">
        <f aca="false">IF(OR(D219="",E219=""),"",D219*E219)</f>
        <v/>
      </c>
      <c r="G219" s="10"/>
      <c r="H219" s="41"/>
      <c r="I219" s="10"/>
    </row>
    <row r="220" customFormat="false" ht="18" hidden="false" customHeight="true" outlineLevel="0" collapsed="false">
      <c r="B220" s="42"/>
      <c r="C220" s="13"/>
      <c r="D220" s="14"/>
      <c r="E220" s="17"/>
      <c r="F220" s="44" t="str">
        <f aca="false">IF(OR(D220="",E220=""),"",D220*E220)</f>
        <v/>
      </c>
      <c r="G220" s="13"/>
      <c r="H220" s="43"/>
      <c r="I220" s="13"/>
    </row>
    <row r="221" customFormat="false" ht="18" hidden="false" customHeight="true" outlineLevel="0" collapsed="false">
      <c r="B221" s="40"/>
      <c r="C221" s="10"/>
      <c r="D221" s="11"/>
      <c r="E221" s="18"/>
      <c r="F221" s="35" t="str">
        <f aca="false">IF(OR(D221="",E221=""),"",D221*E221)</f>
        <v/>
      </c>
      <c r="G221" s="10"/>
      <c r="H221" s="41"/>
      <c r="I221" s="10"/>
    </row>
    <row r="222" customFormat="false" ht="18" hidden="false" customHeight="true" outlineLevel="0" collapsed="false">
      <c r="B222" s="42"/>
      <c r="C222" s="13"/>
      <c r="D222" s="14"/>
      <c r="E222" s="17"/>
      <c r="F222" s="44" t="str">
        <f aca="false">IF(OR(D222="",E222=""),"",D222*E222)</f>
        <v/>
      </c>
      <c r="G222" s="13"/>
      <c r="H222" s="43"/>
      <c r="I222" s="13"/>
    </row>
    <row r="223" customFormat="false" ht="18" hidden="false" customHeight="true" outlineLevel="0" collapsed="false">
      <c r="B223" s="40"/>
      <c r="C223" s="10"/>
      <c r="D223" s="11"/>
      <c r="E223" s="18"/>
      <c r="F223" s="35" t="str">
        <f aca="false">IF(OR(D223="",E223=""),"",D223*E223)</f>
        <v/>
      </c>
      <c r="G223" s="10"/>
      <c r="H223" s="41"/>
      <c r="I223" s="10"/>
    </row>
    <row r="224" customFormat="false" ht="18" hidden="false" customHeight="true" outlineLevel="0" collapsed="false">
      <c r="B224" s="42"/>
      <c r="C224" s="13"/>
      <c r="D224" s="14"/>
      <c r="E224" s="17"/>
      <c r="F224" s="44" t="str">
        <f aca="false">IF(OR(D224="",E224=""),"",D224*E224)</f>
        <v/>
      </c>
      <c r="G224" s="13"/>
      <c r="H224" s="43"/>
      <c r="I224" s="13"/>
    </row>
    <row r="225" customFormat="false" ht="18" hidden="false" customHeight="true" outlineLevel="0" collapsed="false">
      <c r="B225" s="40"/>
      <c r="C225" s="10"/>
      <c r="D225" s="11"/>
      <c r="E225" s="18"/>
      <c r="F225" s="35" t="str">
        <f aca="false">IF(OR(D225="",E225=""),"",D225*E225)</f>
        <v/>
      </c>
      <c r="G225" s="10"/>
      <c r="H225" s="41"/>
      <c r="I225" s="10"/>
    </row>
    <row r="226" customFormat="false" ht="18" hidden="false" customHeight="true" outlineLevel="0" collapsed="false">
      <c r="B226" s="42"/>
      <c r="C226" s="13"/>
      <c r="D226" s="14"/>
      <c r="E226" s="17"/>
      <c r="F226" s="44" t="str">
        <f aca="false">IF(OR(D226="",E226=""),"",D226*E226)</f>
        <v/>
      </c>
      <c r="G226" s="13"/>
      <c r="H226" s="43"/>
      <c r="I226" s="13"/>
    </row>
    <row r="227" customFormat="false" ht="18" hidden="false" customHeight="true" outlineLevel="0" collapsed="false">
      <c r="B227" s="40"/>
      <c r="C227" s="10"/>
      <c r="D227" s="11"/>
      <c r="E227" s="18"/>
      <c r="F227" s="35" t="str">
        <f aca="false">IF(OR(D227="",E227=""),"",D227*E227)</f>
        <v/>
      </c>
      <c r="G227" s="10"/>
      <c r="H227" s="41"/>
      <c r="I227" s="10"/>
    </row>
    <row r="228" customFormat="false" ht="18" hidden="false" customHeight="true" outlineLevel="0" collapsed="false">
      <c r="B228" s="42"/>
      <c r="C228" s="13"/>
      <c r="D228" s="14"/>
      <c r="E228" s="17"/>
      <c r="F228" s="44" t="str">
        <f aca="false">IF(OR(D228="",E228=""),"",D228*E228)</f>
        <v/>
      </c>
      <c r="G228" s="13"/>
      <c r="H228" s="43"/>
      <c r="I228" s="13"/>
    </row>
    <row r="229" customFormat="false" ht="18" hidden="false" customHeight="true" outlineLevel="0" collapsed="false">
      <c r="B229" s="40"/>
      <c r="C229" s="10"/>
      <c r="D229" s="11"/>
      <c r="E229" s="18"/>
      <c r="F229" s="35" t="str">
        <f aca="false">IF(OR(D229="",E229=""),"",D229*E229)</f>
        <v/>
      </c>
      <c r="G229" s="10"/>
      <c r="H229" s="41"/>
      <c r="I229" s="10"/>
    </row>
    <row r="230" customFormat="false" ht="18" hidden="false" customHeight="true" outlineLevel="0" collapsed="false">
      <c r="B230" s="42"/>
      <c r="C230" s="13"/>
      <c r="D230" s="14"/>
      <c r="E230" s="17"/>
      <c r="F230" s="44" t="str">
        <f aca="false">IF(OR(D230="",E230=""),"",D230*E230)</f>
        <v/>
      </c>
      <c r="G230" s="13"/>
      <c r="H230" s="43"/>
      <c r="I230" s="13"/>
    </row>
    <row r="231" customFormat="false" ht="18" hidden="false" customHeight="true" outlineLevel="0" collapsed="false">
      <c r="B231" s="40"/>
      <c r="C231" s="10"/>
      <c r="D231" s="11"/>
      <c r="E231" s="18"/>
      <c r="F231" s="35" t="str">
        <f aca="false">IF(OR(D231="",E231=""),"",D231*E231)</f>
        <v/>
      </c>
      <c r="G231" s="10"/>
      <c r="H231" s="41"/>
      <c r="I231" s="10"/>
    </row>
    <row r="232" customFormat="false" ht="18" hidden="false" customHeight="true" outlineLevel="0" collapsed="false">
      <c r="B232" s="42"/>
      <c r="C232" s="13"/>
      <c r="D232" s="14"/>
      <c r="E232" s="17"/>
      <c r="F232" s="44" t="str">
        <f aca="false">IF(OR(D232="",E232=""),"",D232*E232)</f>
        <v/>
      </c>
      <c r="G232" s="13"/>
      <c r="H232" s="43"/>
      <c r="I232" s="13"/>
    </row>
    <row r="233" customFormat="false" ht="18" hidden="false" customHeight="true" outlineLevel="0" collapsed="false">
      <c r="B233" s="40"/>
      <c r="C233" s="10"/>
      <c r="D233" s="11"/>
      <c r="E233" s="18"/>
      <c r="F233" s="35" t="str">
        <f aca="false">IF(OR(D233="",E233=""),"",D233*E233)</f>
        <v/>
      </c>
      <c r="G233" s="10"/>
      <c r="H233" s="41"/>
      <c r="I233" s="10"/>
    </row>
    <row r="234" customFormat="false" ht="18" hidden="false" customHeight="true" outlineLevel="0" collapsed="false">
      <c r="B234" s="42"/>
      <c r="C234" s="13"/>
      <c r="D234" s="14"/>
      <c r="E234" s="17"/>
      <c r="F234" s="44" t="str">
        <f aca="false">IF(OR(D234="",E234=""),"",D234*E234)</f>
        <v/>
      </c>
      <c r="G234" s="13"/>
      <c r="H234" s="43"/>
      <c r="I234" s="13"/>
    </row>
    <row r="235" customFormat="false" ht="18" hidden="false" customHeight="true" outlineLevel="0" collapsed="false">
      <c r="B235" s="40"/>
      <c r="C235" s="10"/>
      <c r="D235" s="11"/>
      <c r="E235" s="18"/>
      <c r="F235" s="35" t="str">
        <f aca="false">IF(OR(D235="",E235=""),"",D235*E235)</f>
        <v/>
      </c>
      <c r="G235" s="10"/>
      <c r="H235" s="41"/>
      <c r="I235" s="10"/>
    </row>
    <row r="236" customFormat="false" ht="18" hidden="false" customHeight="true" outlineLevel="0" collapsed="false">
      <c r="B236" s="42"/>
      <c r="C236" s="13"/>
      <c r="D236" s="14"/>
      <c r="E236" s="17"/>
      <c r="F236" s="44" t="str">
        <f aca="false">IF(OR(D236="",E236=""),"",D236*E236)</f>
        <v/>
      </c>
      <c r="G236" s="13"/>
      <c r="H236" s="43"/>
      <c r="I236" s="13"/>
    </row>
    <row r="237" customFormat="false" ht="18" hidden="false" customHeight="true" outlineLevel="0" collapsed="false">
      <c r="B237" s="40"/>
      <c r="C237" s="10"/>
      <c r="D237" s="11"/>
      <c r="E237" s="18"/>
      <c r="F237" s="35" t="str">
        <f aca="false">IF(OR(D237="",E237=""),"",D237*E237)</f>
        <v/>
      </c>
      <c r="G237" s="10"/>
      <c r="H237" s="41"/>
      <c r="I237" s="10"/>
    </row>
    <row r="238" customFormat="false" ht="18" hidden="false" customHeight="true" outlineLevel="0" collapsed="false">
      <c r="B238" s="42"/>
      <c r="C238" s="13"/>
      <c r="D238" s="14"/>
      <c r="E238" s="17"/>
      <c r="F238" s="44" t="str">
        <f aca="false">IF(OR(D238="",E238=""),"",D238*E238)</f>
        <v/>
      </c>
      <c r="G238" s="13"/>
      <c r="H238" s="43"/>
      <c r="I238" s="13"/>
    </row>
    <row r="239" customFormat="false" ht="18" hidden="false" customHeight="true" outlineLevel="0" collapsed="false">
      <c r="B239" s="40"/>
      <c r="C239" s="10"/>
      <c r="D239" s="11"/>
      <c r="E239" s="18"/>
      <c r="F239" s="35" t="str">
        <f aca="false">IF(OR(D239="",E239=""),"",D239*E239)</f>
        <v/>
      </c>
      <c r="G239" s="10"/>
      <c r="H239" s="41"/>
      <c r="I239" s="10"/>
    </row>
    <row r="240" customFormat="false" ht="18" hidden="false" customHeight="true" outlineLevel="0" collapsed="false">
      <c r="B240" s="42"/>
      <c r="C240" s="13"/>
      <c r="D240" s="14"/>
      <c r="E240" s="17"/>
      <c r="F240" s="44" t="str">
        <f aca="false">IF(OR(D240="",E240=""),"",D240*E240)</f>
        <v/>
      </c>
      <c r="G240" s="13"/>
      <c r="H240" s="43"/>
      <c r="I240" s="13"/>
    </row>
    <row r="241" customFormat="false" ht="18" hidden="false" customHeight="true" outlineLevel="0" collapsed="false">
      <c r="B241" s="40"/>
      <c r="C241" s="10"/>
      <c r="D241" s="11"/>
      <c r="E241" s="18"/>
      <c r="F241" s="35" t="str">
        <f aca="false">IF(OR(D241="",E241=""),"",D241*E241)</f>
        <v/>
      </c>
      <c r="G241" s="10"/>
      <c r="H241" s="41"/>
      <c r="I241" s="10"/>
    </row>
    <row r="242" customFormat="false" ht="18" hidden="false" customHeight="true" outlineLevel="0" collapsed="false">
      <c r="B242" s="42"/>
      <c r="C242" s="13"/>
      <c r="D242" s="14"/>
      <c r="E242" s="17"/>
      <c r="F242" s="44" t="str">
        <f aca="false">IF(OR(D242="",E242=""),"",D242*E242)</f>
        <v/>
      </c>
      <c r="G242" s="13"/>
      <c r="H242" s="43"/>
      <c r="I242" s="13"/>
    </row>
    <row r="243" customFormat="false" ht="18" hidden="false" customHeight="true" outlineLevel="0" collapsed="false">
      <c r="B243" s="40"/>
      <c r="C243" s="10"/>
      <c r="D243" s="11"/>
      <c r="E243" s="18"/>
      <c r="F243" s="35" t="str">
        <f aca="false">IF(OR(D243="",E243=""),"",D243*E243)</f>
        <v/>
      </c>
      <c r="G243" s="10"/>
      <c r="H243" s="41"/>
      <c r="I243" s="10"/>
    </row>
    <row r="244" customFormat="false" ht="18" hidden="false" customHeight="true" outlineLevel="0" collapsed="false">
      <c r="B244" s="42"/>
      <c r="C244" s="13"/>
      <c r="D244" s="14"/>
      <c r="E244" s="17"/>
      <c r="F244" s="44" t="str">
        <f aca="false">IF(OR(D244="",E244=""),"",D244*E244)</f>
        <v/>
      </c>
      <c r="G244" s="13"/>
      <c r="H244" s="43"/>
      <c r="I244" s="13"/>
    </row>
    <row r="245" customFormat="false" ht="18" hidden="false" customHeight="true" outlineLevel="0" collapsed="false">
      <c r="B245" s="40"/>
      <c r="C245" s="10"/>
      <c r="D245" s="11"/>
      <c r="E245" s="18"/>
      <c r="F245" s="35" t="str">
        <f aca="false">IF(OR(D245="",E245=""),"",D245*E245)</f>
        <v/>
      </c>
      <c r="G245" s="10"/>
      <c r="H245" s="41"/>
      <c r="I245" s="10"/>
    </row>
    <row r="246" customFormat="false" ht="18" hidden="false" customHeight="true" outlineLevel="0" collapsed="false">
      <c r="B246" s="42"/>
      <c r="C246" s="13"/>
      <c r="D246" s="14"/>
      <c r="E246" s="17"/>
      <c r="F246" s="44" t="str">
        <f aca="false">IF(OR(D246="",E246=""),"",D246*E246)</f>
        <v/>
      </c>
      <c r="G246" s="13"/>
      <c r="H246" s="43"/>
      <c r="I246" s="13"/>
    </row>
    <row r="247" customFormat="false" ht="18" hidden="false" customHeight="true" outlineLevel="0" collapsed="false">
      <c r="B247" s="40"/>
      <c r="C247" s="10"/>
      <c r="D247" s="11"/>
      <c r="E247" s="18"/>
      <c r="F247" s="35" t="str">
        <f aca="false">IF(OR(D247="",E247=""),"",D247*E247)</f>
        <v/>
      </c>
      <c r="G247" s="10"/>
      <c r="H247" s="41"/>
      <c r="I247" s="10"/>
    </row>
    <row r="248" customFormat="false" ht="18" hidden="false" customHeight="true" outlineLevel="0" collapsed="false">
      <c r="B248" s="42"/>
      <c r="C248" s="13"/>
      <c r="D248" s="14"/>
      <c r="E248" s="17"/>
      <c r="F248" s="44" t="str">
        <f aca="false">IF(OR(D248="",E248=""),"",D248*E248)</f>
        <v/>
      </c>
      <c r="G248" s="13"/>
      <c r="H248" s="43"/>
      <c r="I248" s="13"/>
    </row>
    <row r="249" customFormat="false" ht="18" hidden="false" customHeight="true" outlineLevel="0" collapsed="false">
      <c r="B249" s="40"/>
      <c r="C249" s="10"/>
      <c r="D249" s="11"/>
      <c r="E249" s="18"/>
      <c r="F249" s="35" t="str">
        <f aca="false">IF(OR(D249="",E249=""),"",D249*E249)</f>
        <v/>
      </c>
      <c r="G249" s="10"/>
      <c r="H249" s="41"/>
      <c r="I249" s="10"/>
    </row>
    <row r="250" customFormat="false" ht="18" hidden="false" customHeight="true" outlineLevel="0" collapsed="false">
      <c r="B250" s="42"/>
      <c r="C250" s="13"/>
      <c r="D250" s="14"/>
      <c r="E250" s="17"/>
      <c r="F250" s="44" t="str">
        <f aca="false">IF(OR(D250="",E250=""),"",D250*E250)</f>
        <v/>
      </c>
      <c r="G250" s="13"/>
      <c r="H250" s="43"/>
      <c r="I250" s="13"/>
    </row>
    <row r="251" customFormat="false" ht="18" hidden="false" customHeight="true" outlineLevel="0" collapsed="false">
      <c r="B251" s="40"/>
      <c r="C251" s="10"/>
      <c r="D251" s="11"/>
      <c r="E251" s="18"/>
      <c r="F251" s="35" t="str">
        <f aca="false">IF(OR(D251="",E251=""),"",D251*E251)</f>
        <v/>
      </c>
      <c r="G251" s="10"/>
      <c r="H251" s="41"/>
      <c r="I251" s="10"/>
    </row>
    <row r="252" customFormat="false" ht="18" hidden="false" customHeight="true" outlineLevel="0" collapsed="false">
      <c r="B252" s="42"/>
      <c r="C252" s="13"/>
      <c r="D252" s="14"/>
      <c r="E252" s="17"/>
      <c r="F252" s="44" t="str">
        <f aca="false">IF(OR(D252="",E252=""),"",D252*E252)</f>
        <v/>
      </c>
      <c r="G252" s="13"/>
      <c r="H252" s="43"/>
      <c r="I252" s="13"/>
    </row>
    <row r="253" customFormat="false" ht="18" hidden="false" customHeight="true" outlineLevel="0" collapsed="false">
      <c r="B253" s="40"/>
      <c r="C253" s="10"/>
      <c r="D253" s="11"/>
      <c r="E253" s="18"/>
      <c r="F253" s="35" t="str">
        <f aca="false">IF(OR(D253="",E253=""),"",D253*E253)</f>
        <v/>
      </c>
      <c r="G253" s="10"/>
      <c r="H253" s="41"/>
      <c r="I253" s="10"/>
    </row>
    <row r="254" customFormat="false" ht="18" hidden="false" customHeight="true" outlineLevel="0" collapsed="false">
      <c r="B254" s="42"/>
      <c r="C254" s="13"/>
      <c r="D254" s="14"/>
      <c r="E254" s="17"/>
      <c r="F254" s="44" t="str">
        <f aca="false">IF(OR(D254="",E254=""),"",D254*E254)</f>
        <v/>
      </c>
      <c r="G254" s="13"/>
      <c r="H254" s="43"/>
      <c r="I254" s="13"/>
    </row>
    <row r="255" customFormat="false" ht="18" hidden="false" customHeight="true" outlineLevel="0" collapsed="false">
      <c r="B255" s="40"/>
      <c r="C255" s="10"/>
      <c r="D255" s="11"/>
      <c r="E255" s="18"/>
      <c r="F255" s="35" t="str">
        <f aca="false">IF(OR(D255="",E255=""),"",D255*E255)</f>
        <v/>
      </c>
      <c r="G255" s="10"/>
      <c r="H255" s="41"/>
      <c r="I255" s="10"/>
    </row>
    <row r="256" customFormat="false" ht="18" hidden="false" customHeight="true" outlineLevel="0" collapsed="false">
      <c r="B256" s="42"/>
      <c r="C256" s="13"/>
      <c r="D256" s="14"/>
      <c r="E256" s="17"/>
      <c r="F256" s="44" t="str">
        <f aca="false">IF(OR(D256="",E256=""),"",D256*E256)</f>
        <v/>
      </c>
      <c r="G256" s="13"/>
      <c r="H256" s="43"/>
      <c r="I256" s="13"/>
    </row>
    <row r="257" customFormat="false" ht="18" hidden="false" customHeight="true" outlineLevel="0" collapsed="false">
      <c r="B257" s="40"/>
      <c r="C257" s="10"/>
      <c r="D257" s="11"/>
      <c r="E257" s="18"/>
      <c r="F257" s="35" t="str">
        <f aca="false">IF(OR(D257="",E257=""),"",D257*E257)</f>
        <v/>
      </c>
      <c r="G257" s="10"/>
      <c r="H257" s="41"/>
      <c r="I257" s="10"/>
    </row>
    <row r="258" customFormat="false" ht="18" hidden="false" customHeight="true" outlineLevel="0" collapsed="false">
      <c r="B258" s="42"/>
      <c r="C258" s="13"/>
      <c r="D258" s="14"/>
      <c r="E258" s="17"/>
      <c r="F258" s="44" t="str">
        <f aca="false">IF(OR(D258="",E258=""),"",D258*E258)</f>
        <v/>
      </c>
      <c r="G258" s="13"/>
      <c r="H258" s="43"/>
      <c r="I258" s="13"/>
    </row>
    <row r="259" customFormat="false" ht="18" hidden="false" customHeight="true" outlineLevel="0" collapsed="false">
      <c r="B259" s="40"/>
      <c r="C259" s="10"/>
      <c r="D259" s="11"/>
      <c r="E259" s="18"/>
      <c r="F259" s="35" t="str">
        <f aca="false">IF(OR(D259="",E259=""),"",D259*E259)</f>
        <v/>
      </c>
      <c r="G259" s="10"/>
      <c r="H259" s="41"/>
      <c r="I259" s="10"/>
    </row>
    <row r="260" customFormat="false" ht="18" hidden="false" customHeight="true" outlineLevel="0" collapsed="false">
      <c r="B260" s="42"/>
      <c r="C260" s="13"/>
      <c r="D260" s="14"/>
      <c r="E260" s="17"/>
      <c r="F260" s="44" t="str">
        <f aca="false">IF(OR(D260="",E260=""),"",D260*E260)</f>
        <v/>
      </c>
      <c r="G260" s="13"/>
      <c r="H260" s="43"/>
      <c r="I260" s="13"/>
    </row>
    <row r="261" customFormat="false" ht="18" hidden="false" customHeight="true" outlineLevel="0" collapsed="false">
      <c r="B261" s="40"/>
      <c r="C261" s="10"/>
      <c r="D261" s="11"/>
      <c r="E261" s="18"/>
      <c r="F261" s="35" t="str">
        <f aca="false">IF(OR(D261="",E261=""),"",D261*E261)</f>
        <v/>
      </c>
      <c r="G261" s="10"/>
      <c r="H261" s="41"/>
      <c r="I261" s="10"/>
    </row>
    <row r="262" customFormat="false" ht="18" hidden="false" customHeight="true" outlineLevel="0" collapsed="false">
      <c r="B262" s="42"/>
      <c r="C262" s="13"/>
      <c r="D262" s="14"/>
      <c r="E262" s="17"/>
      <c r="F262" s="44" t="str">
        <f aca="false">IF(OR(D262="",E262=""),"",D262*E262)</f>
        <v/>
      </c>
      <c r="G262" s="13"/>
      <c r="H262" s="43"/>
      <c r="I262" s="13"/>
    </row>
    <row r="263" customFormat="false" ht="18" hidden="false" customHeight="true" outlineLevel="0" collapsed="false">
      <c r="B263" s="40"/>
      <c r="C263" s="10"/>
      <c r="D263" s="11"/>
      <c r="E263" s="18"/>
      <c r="F263" s="35" t="str">
        <f aca="false">IF(OR(D263="",E263=""),"",D263*E263)</f>
        <v/>
      </c>
      <c r="G263" s="10"/>
      <c r="H263" s="41"/>
      <c r="I263" s="10"/>
    </row>
    <row r="264" customFormat="false" ht="18" hidden="false" customHeight="true" outlineLevel="0" collapsed="false">
      <c r="B264" s="42"/>
      <c r="C264" s="13"/>
      <c r="D264" s="14"/>
      <c r="E264" s="17"/>
      <c r="F264" s="44" t="str">
        <f aca="false">IF(OR(D264="",E264=""),"",D264*E264)</f>
        <v/>
      </c>
      <c r="G264" s="13"/>
      <c r="H264" s="43"/>
      <c r="I264" s="13"/>
    </row>
    <row r="265" customFormat="false" ht="18" hidden="false" customHeight="true" outlineLevel="0" collapsed="false">
      <c r="B265" s="40"/>
      <c r="C265" s="10"/>
      <c r="D265" s="11"/>
      <c r="E265" s="18"/>
      <c r="F265" s="35" t="str">
        <f aca="false">IF(OR(D265="",E265=""),"",D265*E265)</f>
        <v/>
      </c>
      <c r="G265" s="10"/>
      <c r="H265" s="41"/>
      <c r="I265" s="10"/>
    </row>
    <row r="266" customFormat="false" ht="18" hidden="false" customHeight="true" outlineLevel="0" collapsed="false">
      <c r="B266" s="42"/>
      <c r="C266" s="13"/>
      <c r="D266" s="14"/>
      <c r="E266" s="17"/>
      <c r="F266" s="44" t="str">
        <f aca="false">IF(OR(D266="",E266=""),"",D266*E266)</f>
        <v/>
      </c>
      <c r="G266" s="13"/>
      <c r="H266" s="43"/>
      <c r="I266" s="13"/>
    </row>
    <row r="267" customFormat="false" ht="18" hidden="false" customHeight="true" outlineLevel="0" collapsed="false">
      <c r="B267" s="40"/>
      <c r="C267" s="10"/>
      <c r="D267" s="11"/>
      <c r="E267" s="18"/>
      <c r="F267" s="35" t="str">
        <f aca="false">IF(OR(D267="",E267=""),"",D267*E267)</f>
        <v/>
      </c>
      <c r="G267" s="10"/>
      <c r="H267" s="41"/>
      <c r="I267" s="10"/>
    </row>
    <row r="268" customFormat="false" ht="18" hidden="false" customHeight="true" outlineLevel="0" collapsed="false">
      <c r="B268" s="42"/>
      <c r="C268" s="13"/>
      <c r="D268" s="14"/>
      <c r="E268" s="17"/>
      <c r="F268" s="44" t="str">
        <f aca="false">IF(OR(D268="",E268=""),"",D268*E268)</f>
        <v/>
      </c>
      <c r="G268" s="13"/>
      <c r="H268" s="43"/>
      <c r="I268" s="13"/>
    </row>
    <row r="269" customFormat="false" ht="18" hidden="false" customHeight="true" outlineLevel="0" collapsed="false">
      <c r="B269" s="40"/>
      <c r="C269" s="10"/>
      <c r="D269" s="11"/>
      <c r="E269" s="18"/>
      <c r="F269" s="35" t="str">
        <f aca="false">IF(OR(D269="",E269=""),"",D269*E269)</f>
        <v/>
      </c>
      <c r="G269" s="10"/>
      <c r="H269" s="41"/>
      <c r="I269" s="10"/>
    </row>
    <row r="270" customFormat="false" ht="18" hidden="false" customHeight="true" outlineLevel="0" collapsed="false">
      <c r="B270" s="42"/>
      <c r="C270" s="13"/>
      <c r="D270" s="14"/>
      <c r="E270" s="17"/>
      <c r="F270" s="44" t="str">
        <f aca="false">IF(OR(D270="",E270=""),"",D270*E270)</f>
        <v/>
      </c>
      <c r="G270" s="13"/>
      <c r="H270" s="43"/>
      <c r="I270" s="13"/>
    </row>
    <row r="271" customFormat="false" ht="18" hidden="false" customHeight="true" outlineLevel="0" collapsed="false">
      <c r="B271" s="40"/>
      <c r="C271" s="10"/>
      <c r="D271" s="11"/>
      <c r="E271" s="18"/>
      <c r="F271" s="35" t="str">
        <f aca="false">IF(OR(D271="",E271=""),"",D271*E271)</f>
        <v/>
      </c>
      <c r="G271" s="10"/>
      <c r="H271" s="41"/>
      <c r="I271" s="10"/>
    </row>
    <row r="272" customFormat="false" ht="18" hidden="false" customHeight="true" outlineLevel="0" collapsed="false">
      <c r="B272" s="42"/>
      <c r="C272" s="13"/>
      <c r="D272" s="14"/>
      <c r="E272" s="17"/>
      <c r="F272" s="44" t="str">
        <f aca="false">IF(OR(D272="",E272=""),"",D272*E272)</f>
        <v/>
      </c>
      <c r="G272" s="13"/>
      <c r="H272" s="43"/>
      <c r="I272" s="13"/>
    </row>
    <row r="273" customFormat="false" ht="18" hidden="false" customHeight="true" outlineLevel="0" collapsed="false">
      <c r="B273" s="40"/>
      <c r="C273" s="10"/>
      <c r="D273" s="11"/>
      <c r="E273" s="18"/>
      <c r="F273" s="35" t="str">
        <f aca="false">IF(OR(D273="",E273=""),"",D273*E273)</f>
        <v/>
      </c>
      <c r="G273" s="10"/>
      <c r="H273" s="41"/>
      <c r="I273" s="10"/>
    </row>
    <row r="274" customFormat="false" ht="18" hidden="false" customHeight="true" outlineLevel="0" collapsed="false">
      <c r="B274" s="42"/>
      <c r="C274" s="13"/>
      <c r="D274" s="14"/>
      <c r="E274" s="17"/>
      <c r="F274" s="44" t="str">
        <f aca="false">IF(OR(D274="",E274=""),"",D274*E274)</f>
        <v/>
      </c>
      <c r="G274" s="13"/>
      <c r="H274" s="43"/>
      <c r="I274" s="13"/>
    </row>
    <row r="275" customFormat="false" ht="18" hidden="false" customHeight="true" outlineLevel="0" collapsed="false">
      <c r="B275" s="40"/>
      <c r="C275" s="10"/>
      <c r="D275" s="11"/>
      <c r="E275" s="18"/>
      <c r="F275" s="35" t="str">
        <f aca="false">IF(OR(D275="",E275=""),"",D275*E275)</f>
        <v/>
      </c>
      <c r="G275" s="10"/>
      <c r="H275" s="41"/>
      <c r="I275" s="10"/>
    </row>
    <row r="276" customFormat="false" ht="18" hidden="false" customHeight="true" outlineLevel="0" collapsed="false">
      <c r="B276" s="42"/>
      <c r="C276" s="13"/>
      <c r="D276" s="14"/>
      <c r="E276" s="17"/>
      <c r="F276" s="44" t="str">
        <f aca="false">IF(OR(D276="",E276=""),"",D276*E276)</f>
        <v/>
      </c>
      <c r="G276" s="13"/>
      <c r="H276" s="43"/>
      <c r="I276" s="13"/>
    </row>
    <row r="277" customFormat="false" ht="18" hidden="false" customHeight="true" outlineLevel="0" collapsed="false">
      <c r="B277" s="40"/>
      <c r="C277" s="10"/>
      <c r="D277" s="11"/>
      <c r="E277" s="18"/>
      <c r="F277" s="35" t="str">
        <f aca="false">IF(OR(D277="",E277=""),"",D277*E277)</f>
        <v/>
      </c>
      <c r="G277" s="10"/>
      <c r="H277" s="41"/>
      <c r="I277" s="10"/>
    </row>
    <row r="278" customFormat="false" ht="18" hidden="false" customHeight="true" outlineLevel="0" collapsed="false">
      <c r="B278" s="42"/>
      <c r="C278" s="13"/>
      <c r="D278" s="14"/>
      <c r="E278" s="17"/>
      <c r="F278" s="44" t="str">
        <f aca="false">IF(OR(D278="",E278=""),"",D278*E278)</f>
        <v/>
      </c>
      <c r="G278" s="13"/>
      <c r="H278" s="43"/>
      <c r="I278" s="13"/>
    </row>
    <row r="279" customFormat="false" ht="18" hidden="false" customHeight="true" outlineLevel="0" collapsed="false">
      <c r="B279" s="40"/>
      <c r="C279" s="10"/>
      <c r="D279" s="11"/>
      <c r="E279" s="18"/>
      <c r="F279" s="35" t="str">
        <f aca="false">IF(OR(D279="",E279=""),"",D279*E279)</f>
        <v/>
      </c>
      <c r="G279" s="10"/>
      <c r="H279" s="41"/>
      <c r="I279" s="10"/>
    </row>
    <row r="280" customFormat="false" ht="18" hidden="false" customHeight="true" outlineLevel="0" collapsed="false">
      <c r="B280" s="42"/>
      <c r="C280" s="13"/>
      <c r="D280" s="14"/>
      <c r="E280" s="17"/>
      <c r="F280" s="44" t="str">
        <f aca="false">IF(OR(D280="",E280=""),"",D280*E280)</f>
        <v/>
      </c>
      <c r="G280" s="13"/>
      <c r="H280" s="43"/>
      <c r="I280" s="13"/>
    </row>
    <row r="281" customFormat="false" ht="18" hidden="false" customHeight="true" outlineLevel="0" collapsed="false">
      <c r="B281" s="40"/>
      <c r="C281" s="10"/>
      <c r="D281" s="11"/>
      <c r="E281" s="18"/>
      <c r="F281" s="35" t="str">
        <f aca="false">IF(OR(D281="",E281=""),"",D281*E281)</f>
        <v/>
      </c>
      <c r="G281" s="10"/>
      <c r="H281" s="41"/>
      <c r="I281" s="10"/>
    </row>
    <row r="282" customFormat="false" ht="18" hidden="false" customHeight="true" outlineLevel="0" collapsed="false">
      <c r="B282" s="42"/>
      <c r="C282" s="13"/>
      <c r="D282" s="14"/>
      <c r="E282" s="17"/>
      <c r="F282" s="44" t="str">
        <f aca="false">IF(OR(D282="",E282=""),"",D282*E282)</f>
        <v/>
      </c>
      <c r="G282" s="13"/>
      <c r="H282" s="43"/>
      <c r="I282" s="13"/>
    </row>
    <row r="283" customFormat="false" ht="18" hidden="false" customHeight="true" outlineLevel="0" collapsed="false">
      <c r="B283" s="40"/>
      <c r="C283" s="10"/>
      <c r="D283" s="11"/>
      <c r="E283" s="18"/>
      <c r="F283" s="35" t="str">
        <f aca="false">IF(OR(D283="",E283=""),"",D283*E283)</f>
        <v/>
      </c>
      <c r="G283" s="10"/>
      <c r="H283" s="41"/>
      <c r="I283" s="10"/>
    </row>
    <row r="284" customFormat="false" ht="18" hidden="false" customHeight="true" outlineLevel="0" collapsed="false">
      <c r="B284" s="42"/>
      <c r="C284" s="13"/>
      <c r="D284" s="14"/>
      <c r="E284" s="17"/>
      <c r="F284" s="44" t="str">
        <f aca="false">IF(OR(D284="",E284=""),"",D284*E284)</f>
        <v/>
      </c>
      <c r="G284" s="13"/>
      <c r="H284" s="43"/>
      <c r="I284" s="13"/>
    </row>
    <row r="285" customFormat="false" ht="18" hidden="false" customHeight="true" outlineLevel="0" collapsed="false">
      <c r="B285" s="40"/>
      <c r="C285" s="10"/>
      <c r="D285" s="11"/>
      <c r="E285" s="18"/>
      <c r="F285" s="35" t="str">
        <f aca="false">IF(OR(D285="",E285=""),"",D285*E285)</f>
        <v/>
      </c>
      <c r="G285" s="10"/>
      <c r="H285" s="41"/>
      <c r="I285" s="10"/>
    </row>
    <row r="286" customFormat="false" ht="18" hidden="false" customHeight="true" outlineLevel="0" collapsed="false">
      <c r="B286" s="42"/>
      <c r="C286" s="13"/>
      <c r="D286" s="14"/>
      <c r="E286" s="17"/>
      <c r="F286" s="44" t="str">
        <f aca="false">IF(OR(D286="",E286=""),"",D286*E286)</f>
        <v/>
      </c>
      <c r="G286" s="13"/>
      <c r="H286" s="43"/>
      <c r="I286" s="13"/>
    </row>
    <row r="287" customFormat="false" ht="18" hidden="false" customHeight="true" outlineLevel="0" collapsed="false">
      <c r="B287" s="40"/>
      <c r="C287" s="10"/>
      <c r="D287" s="11"/>
      <c r="E287" s="18"/>
      <c r="F287" s="35" t="str">
        <f aca="false">IF(OR(D287="",E287=""),"",D287*E287)</f>
        <v/>
      </c>
      <c r="G287" s="10"/>
      <c r="H287" s="41"/>
      <c r="I287" s="10"/>
    </row>
    <row r="288" customFormat="false" ht="18" hidden="false" customHeight="true" outlineLevel="0" collapsed="false">
      <c r="B288" s="42"/>
      <c r="C288" s="13"/>
      <c r="D288" s="14"/>
      <c r="E288" s="17"/>
      <c r="F288" s="44" t="str">
        <f aca="false">IF(OR(D288="",E288=""),"",D288*E288)</f>
        <v/>
      </c>
      <c r="G288" s="13"/>
      <c r="H288" s="43"/>
      <c r="I288" s="13"/>
    </row>
    <row r="289" customFormat="false" ht="18" hidden="false" customHeight="true" outlineLevel="0" collapsed="false">
      <c r="B289" s="40"/>
      <c r="C289" s="10"/>
      <c r="D289" s="11"/>
      <c r="E289" s="18"/>
      <c r="F289" s="35" t="str">
        <f aca="false">IF(OR(D289="",E289=""),"",D289*E289)</f>
        <v/>
      </c>
      <c r="G289" s="10"/>
      <c r="H289" s="41"/>
      <c r="I289" s="10"/>
    </row>
    <row r="290" customFormat="false" ht="18" hidden="false" customHeight="true" outlineLevel="0" collapsed="false">
      <c r="B290" s="42"/>
      <c r="C290" s="13"/>
      <c r="D290" s="14"/>
      <c r="E290" s="17"/>
      <c r="F290" s="44" t="str">
        <f aca="false">IF(OR(D290="",E290=""),"",D290*E290)</f>
        <v/>
      </c>
      <c r="G290" s="13"/>
      <c r="H290" s="43"/>
      <c r="I290" s="13"/>
    </row>
    <row r="291" customFormat="false" ht="18" hidden="false" customHeight="true" outlineLevel="0" collapsed="false">
      <c r="B291" s="40"/>
      <c r="C291" s="10"/>
      <c r="D291" s="11"/>
      <c r="E291" s="18"/>
      <c r="F291" s="35" t="str">
        <f aca="false">IF(OR(D291="",E291=""),"",D291*E291)</f>
        <v/>
      </c>
      <c r="G291" s="10"/>
      <c r="H291" s="41"/>
      <c r="I291" s="10"/>
    </row>
    <row r="292" customFormat="false" ht="18" hidden="false" customHeight="true" outlineLevel="0" collapsed="false">
      <c r="B292" s="42"/>
      <c r="C292" s="13"/>
      <c r="D292" s="14"/>
      <c r="E292" s="17"/>
      <c r="F292" s="44" t="str">
        <f aca="false">IF(OR(D292="",E292=""),"",D292*E292)</f>
        <v/>
      </c>
      <c r="G292" s="13"/>
      <c r="H292" s="43"/>
      <c r="I292" s="13"/>
    </row>
    <row r="293" customFormat="false" ht="18" hidden="false" customHeight="true" outlineLevel="0" collapsed="false">
      <c r="B293" s="40"/>
      <c r="C293" s="10"/>
      <c r="D293" s="11"/>
      <c r="E293" s="18"/>
      <c r="F293" s="35" t="str">
        <f aca="false">IF(OR(D293="",E293=""),"",D293*E293)</f>
        <v/>
      </c>
      <c r="G293" s="10"/>
      <c r="H293" s="41"/>
      <c r="I293" s="10"/>
    </row>
    <row r="294" customFormat="false" ht="18" hidden="false" customHeight="true" outlineLevel="0" collapsed="false">
      <c r="B294" s="42"/>
      <c r="C294" s="13"/>
      <c r="D294" s="14"/>
      <c r="E294" s="17"/>
      <c r="F294" s="44" t="str">
        <f aca="false">IF(OR(D294="",E294=""),"",D294*E294)</f>
        <v/>
      </c>
      <c r="G294" s="13"/>
      <c r="H294" s="43"/>
      <c r="I294" s="13"/>
    </row>
    <row r="295" customFormat="false" ht="18" hidden="false" customHeight="true" outlineLevel="0" collapsed="false">
      <c r="B295" s="40"/>
      <c r="C295" s="10"/>
      <c r="D295" s="11"/>
      <c r="E295" s="18"/>
      <c r="F295" s="35" t="str">
        <f aca="false">IF(OR(D295="",E295=""),"",D295*E295)</f>
        <v/>
      </c>
      <c r="G295" s="10"/>
      <c r="H295" s="41"/>
      <c r="I295" s="10"/>
    </row>
    <row r="296" customFormat="false" ht="18" hidden="false" customHeight="true" outlineLevel="0" collapsed="false">
      <c r="B296" s="42"/>
      <c r="C296" s="13"/>
      <c r="D296" s="14"/>
      <c r="E296" s="17"/>
      <c r="F296" s="44" t="str">
        <f aca="false">IF(OR(D296="",E296=""),"",D296*E296)</f>
        <v/>
      </c>
      <c r="G296" s="13"/>
      <c r="H296" s="43"/>
      <c r="I296" s="13"/>
    </row>
    <row r="297" customFormat="false" ht="18" hidden="false" customHeight="true" outlineLevel="0" collapsed="false">
      <c r="B297" s="40"/>
      <c r="C297" s="10"/>
      <c r="D297" s="11"/>
      <c r="E297" s="18"/>
      <c r="F297" s="35" t="str">
        <f aca="false">IF(OR(D297="",E297=""),"",D297*E297)</f>
        <v/>
      </c>
      <c r="G297" s="10"/>
      <c r="H297" s="41"/>
      <c r="I297" s="10"/>
    </row>
    <row r="298" customFormat="false" ht="18" hidden="false" customHeight="true" outlineLevel="0" collapsed="false">
      <c r="B298" s="42"/>
      <c r="C298" s="13"/>
      <c r="D298" s="14"/>
      <c r="E298" s="17"/>
      <c r="F298" s="44" t="str">
        <f aca="false">IF(OR(D298="",E298=""),"",D298*E298)</f>
        <v/>
      </c>
      <c r="G298" s="13"/>
      <c r="H298" s="43"/>
      <c r="I298" s="13"/>
    </row>
    <row r="299" customFormat="false" ht="18" hidden="false" customHeight="true" outlineLevel="0" collapsed="false">
      <c r="B299" s="40"/>
      <c r="C299" s="10"/>
      <c r="D299" s="11"/>
      <c r="E299" s="18"/>
      <c r="F299" s="35" t="str">
        <f aca="false">IF(OR(D299="",E299=""),"",D299*E299)</f>
        <v/>
      </c>
      <c r="G299" s="10"/>
      <c r="H299" s="41"/>
      <c r="I299" s="10"/>
    </row>
    <row r="300" customFormat="false" ht="18" hidden="false" customHeight="true" outlineLevel="0" collapsed="false">
      <c r="B300" s="42"/>
      <c r="C300" s="13"/>
      <c r="D300" s="14"/>
      <c r="E300" s="17"/>
      <c r="F300" s="44" t="str">
        <f aca="false">IF(OR(D300="",E300=""),"",D300*E300)</f>
        <v/>
      </c>
      <c r="G300" s="13"/>
      <c r="H300" s="43"/>
      <c r="I300" s="13"/>
    </row>
    <row r="301" customFormat="false" ht="18" hidden="false" customHeight="true" outlineLevel="0" collapsed="false">
      <c r="B301" s="40"/>
      <c r="C301" s="10"/>
      <c r="D301" s="11"/>
      <c r="E301" s="18"/>
      <c r="F301" s="35" t="str">
        <f aca="false">IF(OR(D301="",E301=""),"",D301*E301)</f>
        <v/>
      </c>
      <c r="G301" s="10"/>
      <c r="H301" s="41"/>
      <c r="I301" s="10"/>
    </row>
    <row r="302" customFormat="false" ht="18" hidden="false" customHeight="true" outlineLevel="0" collapsed="false">
      <c r="B302" s="42"/>
      <c r="C302" s="13"/>
      <c r="D302" s="14"/>
      <c r="E302" s="17"/>
      <c r="F302" s="44" t="str">
        <f aca="false">IF(OR(D302="",E302=""),"",D302*E302)</f>
        <v/>
      </c>
      <c r="G302" s="13"/>
      <c r="H302" s="43"/>
      <c r="I302" s="13"/>
    </row>
    <row r="303" customFormat="false" ht="18" hidden="false" customHeight="true" outlineLevel="0" collapsed="false">
      <c r="B303" s="40"/>
      <c r="C303" s="10"/>
      <c r="D303" s="11"/>
      <c r="E303" s="18"/>
      <c r="F303" s="35" t="str">
        <f aca="false">IF(OR(D303="",E303=""),"",D303*E303)</f>
        <v/>
      </c>
      <c r="G303" s="10"/>
      <c r="H303" s="41"/>
      <c r="I303" s="10"/>
    </row>
    <row r="304" customFormat="false" ht="18" hidden="false" customHeight="true" outlineLevel="0" collapsed="false">
      <c r="B304" s="42"/>
      <c r="C304" s="13"/>
      <c r="D304" s="14"/>
      <c r="E304" s="17"/>
      <c r="F304" s="44" t="str">
        <f aca="false">IF(OR(D304="",E304=""),"",D304*E304)</f>
        <v/>
      </c>
      <c r="G304" s="13"/>
      <c r="H304" s="43"/>
      <c r="I304" s="13"/>
    </row>
    <row r="305" customFormat="false" ht="18" hidden="false" customHeight="true" outlineLevel="0" collapsed="false">
      <c r="B305" s="40"/>
      <c r="C305" s="10"/>
      <c r="D305" s="11"/>
      <c r="E305" s="18"/>
      <c r="F305" s="35" t="str">
        <f aca="false">IF(OR(D305="",E305=""),"",D305*E305)</f>
        <v/>
      </c>
      <c r="G305" s="10"/>
      <c r="H305" s="41"/>
      <c r="I305" s="10"/>
    </row>
    <row r="306" customFormat="false" ht="18" hidden="false" customHeight="true" outlineLevel="0" collapsed="false">
      <c r="B306" s="42"/>
      <c r="C306" s="13"/>
      <c r="D306" s="14"/>
      <c r="E306" s="17"/>
      <c r="F306" s="44" t="str">
        <f aca="false">IF(OR(D306="",E306=""),"",D306*E306)</f>
        <v/>
      </c>
      <c r="G306" s="13"/>
      <c r="H306" s="43"/>
      <c r="I306" s="13"/>
    </row>
    <row r="307" customFormat="false" ht="18" hidden="false" customHeight="true" outlineLevel="0" collapsed="false">
      <c r="B307" s="40"/>
      <c r="C307" s="10"/>
      <c r="D307" s="11"/>
      <c r="E307" s="18"/>
      <c r="F307" s="35" t="str">
        <f aca="false">IF(OR(D307="",E307=""),"",D307*E307)</f>
        <v/>
      </c>
      <c r="G307" s="10"/>
      <c r="H307" s="41"/>
      <c r="I307" s="10"/>
    </row>
    <row r="308" customFormat="false" ht="18" hidden="false" customHeight="true" outlineLevel="0" collapsed="false">
      <c r="B308" s="42"/>
      <c r="C308" s="13"/>
      <c r="D308" s="14"/>
      <c r="E308" s="17"/>
      <c r="F308" s="44" t="str">
        <f aca="false">IF(OR(D308="",E308=""),"",D308*E308)</f>
        <v/>
      </c>
      <c r="G308" s="13"/>
      <c r="H308" s="43"/>
      <c r="I308" s="13"/>
    </row>
    <row r="309" customFormat="false" ht="18" hidden="false" customHeight="true" outlineLevel="0" collapsed="false">
      <c r="B309" s="40"/>
      <c r="C309" s="10"/>
      <c r="D309" s="11"/>
      <c r="E309" s="18"/>
      <c r="F309" s="35" t="str">
        <f aca="false">IF(OR(D309="",E309=""),"",D309*E309)</f>
        <v/>
      </c>
      <c r="G309" s="10"/>
      <c r="H309" s="41"/>
      <c r="I309" s="10"/>
    </row>
    <row r="310" customFormat="false" ht="18" hidden="false" customHeight="true" outlineLevel="0" collapsed="false">
      <c r="B310" s="42"/>
      <c r="C310" s="13"/>
      <c r="D310" s="14"/>
      <c r="E310" s="17"/>
      <c r="F310" s="44" t="str">
        <f aca="false">IF(OR(D310="",E310=""),"",D310*E310)</f>
        <v/>
      </c>
      <c r="G310" s="13"/>
      <c r="H310" s="43"/>
      <c r="I310" s="13"/>
    </row>
    <row r="311" customFormat="false" ht="18" hidden="false" customHeight="true" outlineLevel="0" collapsed="false">
      <c r="B311" s="40"/>
      <c r="C311" s="10"/>
      <c r="D311" s="11"/>
      <c r="E311" s="18"/>
      <c r="F311" s="35" t="str">
        <f aca="false">IF(OR(D311="",E311=""),"",D311*E311)</f>
        <v/>
      </c>
      <c r="G311" s="10"/>
      <c r="H311" s="41"/>
      <c r="I311" s="10"/>
    </row>
    <row r="312" customFormat="false" ht="18" hidden="false" customHeight="true" outlineLevel="0" collapsed="false">
      <c r="B312" s="42"/>
      <c r="C312" s="13"/>
      <c r="D312" s="14"/>
      <c r="E312" s="17"/>
      <c r="F312" s="44" t="str">
        <f aca="false">IF(OR(D312="",E312=""),"",D312*E312)</f>
        <v/>
      </c>
      <c r="G312" s="13"/>
      <c r="H312" s="43"/>
      <c r="I312" s="13"/>
    </row>
    <row r="313" customFormat="false" ht="18" hidden="false" customHeight="true" outlineLevel="0" collapsed="false">
      <c r="B313" s="40"/>
      <c r="C313" s="10"/>
      <c r="D313" s="11"/>
      <c r="E313" s="18"/>
      <c r="F313" s="35" t="str">
        <f aca="false">IF(OR(D313="",E313=""),"",D313*E313)</f>
        <v/>
      </c>
      <c r="G313" s="10"/>
      <c r="H313" s="41"/>
      <c r="I313" s="10"/>
    </row>
    <row r="314" customFormat="false" ht="18" hidden="false" customHeight="true" outlineLevel="0" collapsed="false">
      <c r="B314" s="42"/>
      <c r="C314" s="13"/>
      <c r="D314" s="14"/>
      <c r="E314" s="17"/>
      <c r="F314" s="44" t="str">
        <f aca="false">IF(OR(D314="",E314=""),"",D314*E314)</f>
        <v/>
      </c>
      <c r="G314" s="13"/>
      <c r="H314" s="43"/>
      <c r="I314" s="13"/>
    </row>
    <row r="315" customFormat="false" ht="18" hidden="false" customHeight="true" outlineLevel="0" collapsed="false">
      <c r="B315" s="40"/>
      <c r="C315" s="10"/>
      <c r="D315" s="11"/>
      <c r="E315" s="18"/>
      <c r="F315" s="35" t="str">
        <f aca="false">IF(OR(D315="",E315=""),"",D315*E315)</f>
        <v/>
      </c>
      <c r="G315" s="10"/>
      <c r="H315" s="41"/>
      <c r="I315" s="10"/>
    </row>
    <row r="316" customFormat="false" ht="18" hidden="false" customHeight="true" outlineLevel="0" collapsed="false">
      <c r="B316" s="42"/>
      <c r="C316" s="13"/>
      <c r="D316" s="14"/>
      <c r="E316" s="17"/>
      <c r="F316" s="44" t="str">
        <f aca="false">IF(OR(D316="",E316=""),"",D316*E316)</f>
        <v/>
      </c>
      <c r="G316" s="13"/>
      <c r="H316" s="43"/>
      <c r="I316" s="13"/>
    </row>
    <row r="317" customFormat="false" ht="18" hidden="false" customHeight="true" outlineLevel="0" collapsed="false">
      <c r="B317" s="40"/>
      <c r="C317" s="10"/>
      <c r="D317" s="11"/>
      <c r="E317" s="18"/>
      <c r="F317" s="35" t="str">
        <f aca="false">IF(OR(D317="",E317=""),"",D317*E317)</f>
        <v/>
      </c>
      <c r="G317" s="10"/>
      <c r="H317" s="41"/>
      <c r="I317" s="10"/>
    </row>
    <row r="318" customFormat="false" ht="18" hidden="false" customHeight="true" outlineLevel="0" collapsed="false">
      <c r="B318" s="42"/>
      <c r="C318" s="13"/>
      <c r="D318" s="14"/>
      <c r="E318" s="17"/>
      <c r="F318" s="44" t="str">
        <f aca="false">IF(OR(D318="",E318=""),"",D318*E318)</f>
        <v/>
      </c>
      <c r="G318" s="13"/>
      <c r="H318" s="43"/>
      <c r="I318" s="13"/>
    </row>
    <row r="319" customFormat="false" ht="18" hidden="false" customHeight="true" outlineLevel="0" collapsed="false">
      <c r="B319" s="40"/>
      <c r="C319" s="10"/>
      <c r="D319" s="11"/>
      <c r="E319" s="18"/>
      <c r="F319" s="35" t="str">
        <f aca="false">IF(OR(D319="",E319=""),"",D319*E319)</f>
        <v/>
      </c>
      <c r="G319" s="10"/>
      <c r="H319" s="41"/>
      <c r="I319" s="10"/>
    </row>
    <row r="320" customFormat="false" ht="18" hidden="false" customHeight="true" outlineLevel="0" collapsed="false">
      <c r="B320" s="42"/>
      <c r="C320" s="13"/>
      <c r="D320" s="14"/>
      <c r="E320" s="17"/>
      <c r="F320" s="44" t="str">
        <f aca="false">IF(OR(D320="",E320=""),"",D320*E320)</f>
        <v/>
      </c>
      <c r="G320" s="13"/>
      <c r="H320" s="43"/>
      <c r="I320" s="13"/>
    </row>
    <row r="321" customFormat="false" ht="18" hidden="false" customHeight="true" outlineLevel="0" collapsed="false">
      <c r="B321" s="40"/>
      <c r="C321" s="10"/>
      <c r="D321" s="11"/>
      <c r="E321" s="18"/>
      <c r="F321" s="35" t="str">
        <f aca="false">IF(OR(D321="",E321=""),"",D321*E321)</f>
        <v/>
      </c>
      <c r="G321" s="10"/>
      <c r="H321" s="41"/>
      <c r="I321" s="10"/>
    </row>
    <row r="322" customFormat="false" ht="18" hidden="false" customHeight="true" outlineLevel="0" collapsed="false">
      <c r="B322" s="42"/>
      <c r="C322" s="13"/>
      <c r="D322" s="14"/>
      <c r="E322" s="17"/>
      <c r="F322" s="44" t="str">
        <f aca="false">IF(OR(D322="",E322=""),"",D322*E322)</f>
        <v/>
      </c>
      <c r="G322" s="13"/>
      <c r="H322" s="43"/>
      <c r="I322" s="13"/>
    </row>
    <row r="323" customFormat="false" ht="18" hidden="false" customHeight="true" outlineLevel="0" collapsed="false">
      <c r="B323" s="40"/>
      <c r="C323" s="10"/>
      <c r="D323" s="11"/>
      <c r="E323" s="18"/>
      <c r="F323" s="35" t="str">
        <f aca="false">IF(OR(D323="",E323=""),"",D323*E323)</f>
        <v/>
      </c>
      <c r="G323" s="10"/>
      <c r="H323" s="41"/>
      <c r="I323" s="10"/>
    </row>
    <row r="324" customFormat="false" ht="18" hidden="false" customHeight="true" outlineLevel="0" collapsed="false">
      <c r="B324" s="42"/>
      <c r="C324" s="13"/>
      <c r="D324" s="14"/>
      <c r="E324" s="17"/>
      <c r="F324" s="44" t="str">
        <f aca="false">IF(OR(D324="",E324=""),"",D324*E324)</f>
        <v/>
      </c>
      <c r="G324" s="13"/>
      <c r="H324" s="43"/>
      <c r="I324" s="13"/>
    </row>
    <row r="325" customFormat="false" ht="18" hidden="false" customHeight="true" outlineLevel="0" collapsed="false">
      <c r="B325" s="40"/>
      <c r="C325" s="10"/>
      <c r="D325" s="11"/>
      <c r="E325" s="18"/>
      <c r="F325" s="35" t="str">
        <f aca="false">IF(OR(D325="",E325=""),"",D325*E325)</f>
        <v/>
      </c>
      <c r="G325" s="10"/>
      <c r="H325" s="41"/>
      <c r="I325" s="10"/>
    </row>
    <row r="326" customFormat="false" ht="18" hidden="false" customHeight="true" outlineLevel="0" collapsed="false">
      <c r="B326" s="42"/>
      <c r="C326" s="13"/>
      <c r="D326" s="14"/>
      <c r="E326" s="17"/>
      <c r="F326" s="44" t="str">
        <f aca="false">IF(OR(D326="",E326=""),"",D326*E326)</f>
        <v/>
      </c>
      <c r="G326" s="13"/>
      <c r="H326" s="43"/>
      <c r="I326" s="13"/>
    </row>
    <row r="327" customFormat="false" ht="18" hidden="false" customHeight="true" outlineLevel="0" collapsed="false">
      <c r="B327" s="40"/>
      <c r="C327" s="10"/>
      <c r="D327" s="11"/>
      <c r="E327" s="18"/>
      <c r="F327" s="35" t="str">
        <f aca="false">IF(OR(D327="",E327=""),"",D327*E327)</f>
        <v/>
      </c>
      <c r="G327" s="10"/>
      <c r="H327" s="41"/>
      <c r="I327" s="10"/>
    </row>
    <row r="328" customFormat="false" ht="18" hidden="false" customHeight="true" outlineLevel="0" collapsed="false">
      <c r="B328" s="42"/>
      <c r="C328" s="13"/>
      <c r="D328" s="14"/>
      <c r="E328" s="17"/>
      <c r="F328" s="44" t="str">
        <f aca="false">IF(OR(D328="",E328=""),"",D328*E328)</f>
        <v/>
      </c>
      <c r="G328" s="13"/>
      <c r="H328" s="43"/>
      <c r="I328" s="13"/>
    </row>
    <row r="329" customFormat="false" ht="18" hidden="false" customHeight="true" outlineLevel="0" collapsed="false">
      <c r="B329" s="40"/>
      <c r="C329" s="10"/>
      <c r="D329" s="11"/>
      <c r="E329" s="18"/>
      <c r="F329" s="35" t="str">
        <f aca="false">IF(OR(D329="",E329=""),"",D329*E329)</f>
        <v/>
      </c>
      <c r="G329" s="10"/>
      <c r="H329" s="41"/>
      <c r="I329" s="10"/>
    </row>
    <row r="330" customFormat="false" ht="18" hidden="false" customHeight="true" outlineLevel="0" collapsed="false">
      <c r="B330" s="42"/>
      <c r="C330" s="13"/>
      <c r="D330" s="14"/>
      <c r="E330" s="17"/>
      <c r="F330" s="44" t="str">
        <f aca="false">IF(OR(D330="",E330=""),"",D330*E330)</f>
        <v/>
      </c>
      <c r="G330" s="13"/>
      <c r="H330" s="43"/>
      <c r="I330" s="13"/>
    </row>
    <row r="331" customFormat="false" ht="18" hidden="false" customHeight="true" outlineLevel="0" collapsed="false">
      <c r="B331" s="40"/>
      <c r="C331" s="10"/>
      <c r="D331" s="11"/>
      <c r="E331" s="18"/>
      <c r="F331" s="35" t="str">
        <f aca="false">IF(OR(D331="",E331=""),"",D331*E331)</f>
        <v/>
      </c>
      <c r="G331" s="10"/>
      <c r="H331" s="41"/>
      <c r="I331" s="10"/>
    </row>
    <row r="332" customFormat="false" ht="18" hidden="false" customHeight="true" outlineLevel="0" collapsed="false">
      <c r="B332" s="42"/>
      <c r="C332" s="13"/>
      <c r="D332" s="14"/>
      <c r="E332" s="17"/>
      <c r="F332" s="44" t="str">
        <f aca="false">IF(OR(D332="",E332=""),"",D332*E332)</f>
        <v/>
      </c>
      <c r="G332" s="13"/>
      <c r="H332" s="43"/>
      <c r="I332" s="13"/>
    </row>
    <row r="333" customFormat="false" ht="18" hidden="false" customHeight="true" outlineLevel="0" collapsed="false">
      <c r="B333" s="40"/>
      <c r="C333" s="10"/>
      <c r="D333" s="11"/>
      <c r="E333" s="18"/>
      <c r="F333" s="35" t="str">
        <f aca="false">IF(OR(D333="",E333=""),"",D333*E333)</f>
        <v/>
      </c>
      <c r="G333" s="10"/>
      <c r="H333" s="41"/>
      <c r="I333" s="10"/>
    </row>
    <row r="334" customFormat="false" ht="18" hidden="false" customHeight="true" outlineLevel="0" collapsed="false">
      <c r="B334" s="42"/>
      <c r="C334" s="13"/>
      <c r="D334" s="14"/>
      <c r="E334" s="17"/>
      <c r="F334" s="44" t="str">
        <f aca="false">IF(OR(D334="",E334=""),"",D334*E334)</f>
        <v/>
      </c>
      <c r="G334" s="13"/>
      <c r="H334" s="43"/>
      <c r="I334" s="13"/>
    </row>
    <row r="335" customFormat="false" ht="18" hidden="false" customHeight="true" outlineLevel="0" collapsed="false">
      <c r="B335" s="40"/>
      <c r="C335" s="10"/>
      <c r="D335" s="11"/>
      <c r="E335" s="18"/>
      <c r="F335" s="35" t="str">
        <f aca="false">IF(OR(D335="",E335=""),"",D335*E335)</f>
        <v/>
      </c>
      <c r="G335" s="10"/>
      <c r="H335" s="41"/>
      <c r="I335" s="10"/>
    </row>
    <row r="336" customFormat="false" ht="18" hidden="false" customHeight="true" outlineLevel="0" collapsed="false">
      <c r="B336" s="42"/>
      <c r="C336" s="13"/>
      <c r="D336" s="14"/>
      <c r="E336" s="17"/>
      <c r="F336" s="44" t="str">
        <f aca="false">IF(OR(D336="",E336=""),"",D336*E336)</f>
        <v/>
      </c>
      <c r="G336" s="13"/>
      <c r="H336" s="43"/>
      <c r="I336" s="13"/>
    </row>
    <row r="337" customFormat="false" ht="18" hidden="false" customHeight="true" outlineLevel="0" collapsed="false">
      <c r="B337" s="40"/>
      <c r="C337" s="10"/>
      <c r="D337" s="11"/>
      <c r="E337" s="18"/>
      <c r="F337" s="35" t="str">
        <f aca="false">IF(OR(D337="",E337=""),"",D337*E337)</f>
        <v/>
      </c>
      <c r="G337" s="10"/>
      <c r="H337" s="41"/>
      <c r="I337" s="10"/>
    </row>
    <row r="338" customFormat="false" ht="18" hidden="false" customHeight="true" outlineLevel="0" collapsed="false">
      <c r="B338" s="42"/>
      <c r="C338" s="13"/>
      <c r="D338" s="14"/>
      <c r="E338" s="17"/>
      <c r="F338" s="44" t="str">
        <f aca="false">IF(OR(D338="",E338=""),"",D338*E338)</f>
        <v/>
      </c>
      <c r="G338" s="13"/>
      <c r="H338" s="43"/>
      <c r="I338" s="13"/>
    </row>
    <row r="339" customFormat="false" ht="18" hidden="false" customHeight="true" outlineLevel="0" collapsed="false">
      <c r="B339" s="40"/>
      <c r="C339" s="10"/>
      <c r="D339" s="11"/>
      <c r="E339" s="18"/>
      <c r="F339" s="35" t="str">
        <f aca="false">IF(OR(D339="",E339=""),"",D339*E339)</f>
        <v/>
      </c>
      <c r="G339" s="10"/>
      <c r="H339" s="41"/>
      <c r="I339" s="10"/>
    </row>
    <row r="340" customFormat="false" ht="18" hidden="false" customHeight="true" outlineLevel="0" collapsed="false">
      <c r="B340" s="42"/>
      <c r="C340" s="13"/>
      <c r="D340" s="14"/>
      <c r="E340" s="17"/>
      <c r="F340" s="44" t="str">
        <f aca="false">IF(OR(D340="",E340=""),"",D340*E340)</f>
        <v/>
      </c>
      <c r="G340" s="13"/>
      <c r="H340" s="43"/>
      <c r="I340" s="13"/>
    </row>
    <row r="341" customFormat="false" ht="18" hidden="false" customHeight="true" outlineLevel="0" collapsed="false">
      <c r="B341" s="40"/>
      <c r="C341" s="10"/>
      <c r="D341" s="11"/>
      <c r="E341" s="18"/>
      <c r="F341" s="35" t="str">
        <f aca="false">IF(OR(D341="",E341=""),"",D341*E341)</f>
        <v/>
      </c>
      <c r="G341" s="10"/>
      <c r="H341" s="41"/>
      <c r="I341" s="10"/>
    </row>
    <row r="342" customFormat="false" ht="18" hidden="false" customHeight="true" outlineLevel="0" collapsed="false">
      <c r="B342" s="42"/>
      <c r="C342" s="13"/>
      <c r="D342" s="14"/>
      <c r="E342" s="17"/>
      <c r="F342" s="44" t="str">
        <f aca="false">IF(OR(D342="",E342=""),"",D342*E342)</f>
        <v/>
      </c>
      <c r="G342" s="13"/>
      <c r="H342" s="43"/>
      <c r="I342" s="13"/>
    </row>
    <row r="343" customFormat="false" ht="18" hidden="false" customHeight="true" outlineLevel="0" collapsed="false">
      <c r="B343" s="40"/>
      <c r="C343" s="10"/>
      <c r="D343" s="11"/>
      <c r="E343" s="18"/>
      <c r="F343" s="35" t="str">
        <f aca="false">IF(OR(D343="",E343=""),"",D343*E343)</f>
        <v/>
      </c>
      <c r="G343" s="10"/>
      <c r="H343" s="41"/>
      <c r="I343" s="10"/>
    </row>
    <row r="344" customFormat="false" ht="18" hidden="false" customHeight="true" outlineLevel="0" collapsed="false">
      <c r="B344" s="42"/>
      <c r="C344" s="13"/>
      <c r="D344" s="14"/>
      <c r="E344" s="17"/>
      <c r="F344" s="44" t="str">
        <f aca="false">IF(OR(D344="",E344=""),"",D344*E344)</f>
        <v/>
      </c>
      <c r="G344" s="13"/>
      <c r="H344" s="43"/>
      <c r="I344" s="13"/>
    </row>
    <row r="345" customFormat="false" ht="18" hidden="false" customHeight="true" outlineLevel="0" collapsed="false">
      <c r="B345" s="40"/>
      <c r="C345" s="10"/>
      <c r="D345" s="11"/>
      <c r="E345" s="18"/>
      <c r="F345" s="35" t="str">
        <f aca="false">IF(OR(D345="",E345=""),"",D345*E345)</f>
        <v/>
      </c>
      <c r="G345" s="10"/>
      <c r="H345" s="41"/>
      <c r="I345" s="10"/>
    </row>
    <row r="346" customFormat="false" ht="18" hidden="false" customHeight="true" outlineLevel="0" collapsed="false">
      <c r="B346" s="42"/>
      <c r="C346" s="13"/>
      <c r="D346" s="14"/>
      <c r="E346" s="17"/>
      <c r="F346" s="44" t="str">
        <f aca="false">IF(OR(D346="",E346=""),"",D346*E346)</f>
        <v/>
      </c>
      <c r="G346" s="13"/>
      <c r="H346" s="43"/>
      <c r="I346" s="13"/>
    </row>
    <row r="347" customFormat="false" ht="18" hidden="false" customHeight="true" outlineLevel="0" collapsed="false">
      <c r="B347" s="40"/>
      <c r="C347" s="10"/>
      <c r="D347" s="11"/>
      <c r="E347" s="18"/>
      <c r="F347" s="35" t="str">
        <f aca="false">IF(OR(D347="",E347=""),"",D347*E347)</f>
        <v/>
      </c>
      <c r="G347" s="10"/>
      <c r="H347" s="41"/>
      <c r="I347" s="10"/>
    </row>
    <row r="348" customFormat="false" ht="18" hidden="false" customHeight="true" outlineLevel="0" collapsed="false">
      <c r="B348" s="42"/>
      <c r="C348" s="13"/>
      <c r="D348" s="14"/>
      <c r="E348" s="17"/>
      <c r="F348" s="44" t="str">
        <f aca="false">IF(OR(D348="",E348=""),"",D348*E348)</f>
        <v/>
      </c>
      <c r="G348" s="13"/>
      <c r="H348" s="43"/>
      <c r="I348" s="13"/>
    </row>
    <row r="349" customFormat="false" ht="18" hidden="false" customHeight="true" outlineLevel="0" collapsed="false">
      <c r="B349" s="40"/>
      <c r="C349" s="10"/>
      <c r="D349" s="11"/>
      <c r="E349" s="18"/>
      <c r="F349" s="35" t="str">
        <f aca="false">IF(OR(D349="",E349=""),"",D349*E349)</f>
        <v/>
      </c>
      <c r="G349" s="10"/>
      <c r="H349" s="41"/>
      <c r="I349" s="10"/>
    </row>
    <row r="350" customFormat="false" ht="18" hidden="false" customHeight="true" outlineLevel="0" collapsed="false">
      <c r="B350" s="42"/>
      <c r="C350" s="13"/>
      <c r="D350" s="14"/>
      <c r="E350" s="17"/>
      <c r="F350" s="44" t="str">
        <f aca="false">IF(OR(D350="",E350=""),"",D350*E350)</f>
        <v/>
      </c>
      <c r="G350" s="13"/>
      <c r="H350" s="43"/>
      <c r="I350" s="13"/>
    </row>
    <row r="351" customFormat="false" ht="18" hidden="false" customHeight="true" outlineLevel="0" collapsed="false">
      <c r="B351" s="40"/>
      <c r="C351" s="10"/>
      <c r="D351" s="11"/>
      <c r="E351" s="18"/>
      <c r="F351" s="35" t="str">
        <f aca="false">IF(OR(D351="",E351=""),"",D351*E351)</f>
        <v/>
      </c>
      <c r="G351" s="10"/>
      <c r="H351" s="41"/>
      <c r="I351" s="10"/>
    </row>
    <row r="352" customFormat="false" ht="18" hidden="false" customHeight="true" outlineLevel="0" collapsed="false">
      <c r="B352" s="42"/>
      <c r="C352" s="13"/>
      <c r="D352" s="14"/>
      <c r="E352" s="17"/>
      <c r="F352" s="44" t="str">
        <f aca="false">IF(OR(D352="",E352=""),"",D352*E352)</f>
        <v/>
      </c>
      <c r="G352" s="13"/>
      <c r="H352" s="43"/>
      <c r="I352" s="13"/>
    </row>
    <row r="353" customFormat="false" ht="18" hidden="false" customHeight="true" outlineLevel="0" collapsed="false">
      <c r="B353" s="40"/>
      <c r="C353" s="10"/>
      <c r="D353" s="11"/>
      <c r="E353" s="18"/>
      <c r="F353" s="35" t="str">
        <f aca="false">IF(OR(D353="",E353=""),"",D353*E353)</f>
        <v/>
      </c>
      <c r="G353" s="10"/>
      <c r="H353" s="41"/>
      <c r="I353" s="10"/>
    </row>
    <row r="354" customFormat="false" ht="18" hidden="false" customHeight="true" outlineLevel="0" collapsed="false">
      <c r="B354" s="42"/>
      <c r="C354" s="13"/>
      <c r="D354" s="14"/>
      <c r="E354" s="17"/>
      <c r="F354" s="44" t="str">
        <f aca="false">IF(OR(D354="",E354=""),"",D354*E354)</f>
        <v/>
      </c>
      <c r="G354" s="13"/>
      <c r="H354" s="43"/>
      <c r="I354" s="13"/>
    </row>
    <row r="355" customFormat="false" ht="18" hidden="false" customHeight="true" outlineLevel="0" collapsed="false">
      <c r="B355" s="40"/>
      <c r="C355" s="10"/>
      <c r="D355" s="11"/>
      <c r="E355" s="18"/>
      <c r="F355" s="35" t="str">
        <f aca="false">IF(OR(D355="",E355=""),"",D355*E355)</f>
        <v/>
      </c>
      <c r="G355" s="10"/>
      <c r="H355" s="41"/>
      <c r="I355" s="10"/>
    </row>
    <row r="356" customFormat="false" ht="18" hidden="false" customHeight="true" outlineLevel="0" collapsed="false">
      <c r="B356" s="42"/>
      <c r="C356" s="13"/>
      <c r="D356" s="14"/>
      <c r="E356" s="17"/>
      <c r="F356" s="44" t="str">
        <f aca="false">IF(OR(D356="",E356=""),"",D356*E356)</f>
        <v/>
      </c>
      <c r="G356" s="13"/>
      <c r="H356" s="43"/>
      <c r="I356" s="13"/>
    </row>
    <row r="357" customFormat="false" ht="18" hidden="false" customHeight="true" outlineLevel="0" collapsed="false">
      <c r="B357" s="40"/>
      <c r="C357" s="10"/>
      <c r="D357" s="11"/>
      <c r="E357" s="18"/>
      <c r="F357" s="35" t="str">
        <f aca="false">IF(OR(D357="",E357=""),"",D357*E357)</f>
        <v/>
      </c>
      <c r="G357" s="10"/>
      <c r="H357" s="41"/>
      <c r="I357" s="10"/>
    </row>
    <row r="358" customFormat="false" ht="18" hidden="false" customHeight="true" outlineLevel="0" collapsed="false">
      <c r="B358" s="42"/>
      <c r="C358" s="13"/>
      <c r="D358" s="14"/>
      <c r="E358" s="17"/>
      <c r="F358" s="44" t="str">
        <f aca="false">IF(OR(D358="",E358=""),"",D358*E358)</f>
        <v/>
      </c>
      <c r="G358" s="13"/>
      <c r="H358" s="43"/>
      <c r="I358" s="13"/>
    </row>
    <row r="359" customFormat="false" ht="18" hidden="false" customHeight="true" outlineLevel="0" collapsed="false">
      <c r="B359" s="40"/>
      <c r="C359" s="10"/>
      <c r="D359" s="11"/>
      <c r="E359" s="18"/>
      <c r="F359" s="35" t="str">
        <f aca="false">IF(OR(D359="",E359=""),"",D359*E359)</f>
        <v/>
      </c>
      <c r="G359" s="10"/>
      <c r="H359" s="41"/>
      <c r="I359" s="10"/>
    </row>
    <row r="360" customFormat="false" ht="18" hidden="false" customHeight="true" outlineLevel="0" collapsed="false">
      <c r="B360" s="42"/>
      <c r="C360" s="13"/>
      <c r="D360" s="14"/>
      <c r="E360" s="17"/>
      <c r="F360" s="44" t="str">
        <f aca="false">IF(OR(D360="",E360=""),"",D360*E360)</f>
        <v/>
      </c>
      <c r="G360" s="13"/>
      <c r="H360" s="43"/>
      <c r="I360" s="13"/>
    </row>
    <row r="361" customFormat="false" ht="18" hidden="false" customHeight="true" outlineLevel="0" collapsed="false">
      <c r="B361" s="40"/>
      <c r="C361" s="10"/>
      <c r="D361" s="11"/>
      <c r="E361" s="18"/>
      <c r="F361" s="35" t="str">
        <f aca="false">IF(OR(D361="",E361=""),"",D361*E361)</f>
        <v/>
      </c>
      <c r="G361" s="10"/>
      <c r="H361" s="41"/>
      <c r="I361" s="10"/>
    </row>
    <row r="362" customFormat="false" ht="18" hidden="false" customHeight="true" outlineLevel="0" collapsed="false">
      <c r="B362" s="42"/>
      <c r="C362" s="13"/>
      <c r="D362" s="14"/>
      <c r="E362" s="17"/>
      <c r="F362" s="44" t="str">
        <f aca="false">IF(OR(D362="",E362=""),"",D362*E362)</f>
        <v/>
      </c>
      <c r="G362" s="13"/>
      <c r="H362" s="43"/>
      <c r="I362" s="13"/>
    </row>
    <row r="363" customFormat="false" ht="18" hidden="false" customHeight="true" outlineLevel="0" collapsed="false">
      <c r="B363" s="40"/>
      <c r="C363" s="10"/>
      <c r="D363" s="11"/>
      <c r="E363" s="18"/>
      <c r="F363" s="35" t="str">
        <f aca="false">IF(OR(D363="",E363=""),"",D363*E363)</f>
        <v/>
      </c>
      <c r="G363" s="10"/>
      <c r="H363" s="41"/>
      <c r="I363" s="10"/>
    </row>
    <row r="364" customFormat="false" ht="18" hidden="false" customHeight="true" outlineLevel="0" collapsed="false">
      <c r="B364" s="42"/>
      <c r="C364" s="13"/>
      <c r="D364" s="14"/>
      <c r="E364" s="17"/>
      <c r="F364" s="44" t="str">
        <f aca="false">IF(OR(D364="",E364=""),"",D364*E364)</f>
        <v/>
      </c>
      <c r="G364" s="13"/>
      <c r="H364" s="43"/>
      <c r="I364" s="13"/>
    </row>
    <row r="365" customFormat="false" ht="18" hidden="false" customHeight="true" outlineLevel="0" collapsed="false">
      <c r="B365" s="40"/>
      <c r="C365" s="10"/>
      <c r="D365" s="11"/>
      <c r="E365" s="18"/>
      <c r="F365" s="35" t="str">
        <f aca="false">IF(OR(D365="",E365=""),"",D365*E365)</f>
        <v/>
      </c>
      <c r="G365" s="10"/>
      <c r="H365" s="41"/>
      <c r="I365" s="10"/>
    </row>
    <row r="366" customFormat="false" ht="18" hidden="false" customHeight="true" outlineLevel="0" collapsed="false">
      <c r="B366" s="42"/>
      <c r="C366" s="13"/>
      <c r="D366" s="14"/>
      <c r="E366" s="17"/>
      <c r="F366" s="44" t="str">
        <f aca="false">IF(OR(D366="",E366=""),"",D366*E366)</f>
        <v/>
      </c>
      <c r="G366" s="13"/>
      <c r="H366" s="43"/>
      <c r="I366" s="13"/>
    </row>
    <row r="367" customFormat="false" ht="18" hidden="false" customHeight="true" outlineLevel="0" collapsed="false">
      <c r="B367" s="40"/>
      <c r="C367" s="10"/>
      <c r="D367" s="11"/>
      <c r="E367" s="18"/>
      <c r="F367" s="35" t="str">
        <f aca="false">IF(OR(D367="",E367=""),"",D367*E367)</f>
        <v/>
      </c>
      <c r="G367" s="10"/>
      <c r="H367" s="41"/>
      <c r="I367" s="10"/>
    </row>
    <row r="368" customFormat="false" ht="18" hidden="false" customHeight="true" outlineLevel="0" collapsed="false">
      <c r="B368" s="42"/>
      <c r="C368" s="13"/>
      <c r="D368" s="14"/>
      <c r="E368" s="17"/>
      <c r="F368" s="44" t="str">
        <f aca="false">IF(OR(D368="",E368=""),"",D368*E368)</f>
        <v/>
      </c>
      <c r="G368" s="13"/>
      <c r="H368" s="43"/>
      <c r="I368" s="13"/>
    </row>
    <row r="369" customFormat="false" ht="18" hidden="false" customHeight="true" outlineLevel="0" collapsed="false">
      <c r="B369" s="40"/>
      <c r="C369" s="10"/>
      <c r="D369" s="11"/>
      <c r="E369" s="18"/>
      <c r="F369" s="35" t="str">
        <f aca="false">IF(OR(D369="",E369=""),"",D369*E369)</f>
        <v/>
      </c>
      <c r="G369" s="10"/>
      <c r="H369" s="41"/>
      <c r="I369" s="10"/>
    </row>
    <row r="370" customFormat="false" ht="18" hidden="false" customHeight="true" outlineLevel="0" collapsed="false">
      <c r="B370" s="42"/>
      <c r="C370" s="13"/>
      <c r="D370" s="14"/>
      <c r="E370" s="17"/>
      <c r="F370" s="44" t="str">
        <f aca="false">IF(OR(D370="",E370=""),"",D370*E370)</f>
        <v/>
      </c>
      <c r="G370" s="13"/>
      <c r="H370" s="43"/>
      <c r="I370" s="13"/>
    </row>
    <row r="371" customFormat="false" ht="18" hidden="false" customHeight="true" outlineLevel="0" collapsed="false">
      <c r="B371" s="40"/>
      <c r="C371" s="10"/>
      <c r="D371" s="11"/>
      <c r="E371" s="18"/>
      <c r="F371" s="35" t="str">
        <f aca="false">IF(OR(D371="",E371=""),"",D371*E371)</f>
        <v/>
      </c>
      <c r="G371" s="10"/>
      <c r="H371" s="41"/>
      <c r="I371" s="10"/>
    </row>
    <row r="372" customFormat="false" ht="18" hidden="false" customHeight="true" outlineLevel="0" collapsed="false">
      <c r="B372" s="42"/>
      <c r="C372" s="13"/>
      <c r="D372" s="14"/>
      <c r="E372" s="17"/>
      <c r="F372" s="44" t="str">
        <f aca="false">IF(OR(D372="",E372=""),"",D372*E372)</f>
        <v/>
      </c>
      <c r="G372" s="13"/>
      <c r="H372" s="43"/>
      <c r="I372" s="13"/>
    </row>
    <row r="373" customFormat="false" ht="18" hidden="false" customHeight="true" outlineLevel="0" collapsed="false">
      <c r="B373" s="40"/>
      <c r="C373" s="10"/>
      <c r="D373" s="11"/>
      <c r="E373" s="18"/>
      <c r="F373" s="35" t="str">
        <f aca="false">IF(OR(D373="",E373=""),"",D373*E373)</f>
        <v/>
      </c>
      <c r="G373" s="10"/>
      <c r="H373" s="41"/>
      <c r="I373" s="10"/>
    </row>
    <row r="374" customFormat="false" ht="18" hidden="false" customHeight="true" outlineLevel="0" collapsed="false">
      <c r="B374" s="42"/>
      <c r="C374" s="13"/>
      <c r="D374" s="14"/>
      <c r="E374" s="17"/>
      <c r="F374" s="44" t="str">
        <f aca="false">IF(OR(D374="",E374=""),"",D374*E374)</f>
        <v/>
      </c>
      <c r="G374" s="13"/>
      <c r="H374" s="43"/>
      <c r="I374" s="13"/>
    </row>
    <row r="375" customFormat="false" ht="18" hidden="false" customHeight="true" outlineLevel="0" collapsed="false">
      <c r="B375" s="40"/>
      <c r="C375" s="10"/>
      <c r="D375" s="11"/>
      <c r="E375" s="18"/>
      <c r="F375" s="35" t="str">
        <f aca="false">IF(OR(D375="",E375=""),"",D375*E375)</f>
        <v/>
      </c>
      <c r="G375" s="10"/>
      <c r="H375" s="41"/>
      <c r="I375" s="10"/>
    </row>
    <row r="376" customFormat="false" ht="18" hidden="false" customHeight="true" outlineLevel="0" collapsed="false">
      <c r="B376" s="42"/>
      <c r="C376" s="13"/>
      <c r="D376" s="14"/>
      <c r="E376" s="17"/>
      <c r="F376" s="44" t="str">
        <f aca="false">IF(OR(D376="",E376=""),"",D376*E376)</f>
        <v/>
      </c>
      <c r="G376" s="13"/>
      <c r="H376" s="43"/>
      <c r="I376" s="13"/>
    </row>
    <row r="377" customFormat="false" ht="18" hidden="false" customHeight="true" outlineLevel="0" collapsed="false">
      <c r="B377" s="40"/>
      <c r="C377" s="10"/>
      <c r="D377" s="11"/>
      <c r="E377" s="18"/>
      <c r="F377" s="35" t="str">
        <f aca="false">IF(OR(D377="",E377=""),"",D377*E377)</f>
        <v/>
      </c>
      <c r="G377" s="10"/>
      <c r="H377" s="41"/>
      <c r="I377" s="10"/>
    </row>
    <row r="378" customFormat="false" ht="18" hidden="false" customHeight="true" outlineLevel="0" collapsed="false">
      <c r="B378" s="42"/>
      <c r="C378" s="13"/>
      <c r="D378" s="14"/>
      <c r="E378" s="17"/>
      <c r="F378" s="44" t="str">
        <f aca="false">IF(OR(D378="",E378=""),"",D378*E378)</f>
        <v/>
      </c>
      <c r="G378" s="13"/>
      <c r="H378" s="43"/>
      <c r="I378" s="13"/>
    </row>
    <row r="379" customFormat="false" ht="18" hidden="false" customHeight="true" outlineLevel="0" collapsed="false">
      <c r="B379" s="40"/>
      <c r="C379" s="10"/>
      <c r="D379" s="11"/>
      <c r="E379" s="18"/>
      <c r="F379" s="35" t="str">
        <f aca="false">IF(OR(D379="",E379=""),"",D379*E379)</f>
        <v/>
      </c>
      <c r="G379" s="10"/>
      <c r="H379" s="41"/>
      <c r="I379" s="10"/>
    </row>
    <row r="380" customFormat="false" ht="18" hidden="false" customHeight="true" outlineLevel="0" collapsed="false">
      <c r="B380" s="42"/>
      <c r="C380" s="13"/>
      <c r="D380" s="14"/>
      <c r="E380" s="17"/>
      <c r="F380" s="44" t="str">
        <f aca="false">IF(OR(D380="",E380=""),"",D380*E380)</f>
        <v/>
      </c>
      <c r="G380" s="13"/>
      <c r="H380" s="43"/>
      <c r="I380" s="13"/>
    </row>
    <row r="381" customFormat="false" ht="18" hidden="false" customHeight="true" outlineLevel="0" collapsed="false">
      <c r="B381" s="40"/>
      <c r="C381" s="10"/>
      <c r="D381" s="11"/>
      <c r="E381" s="18"/>
      <c r="F381" s="35" t="str">
        <f aca="false">IF(OR(D381="",E381=""),"",D381*E381)</f>
        <v/>
      </c>
      <c r="G381" s="10"/>
      <c r="H381" s="41"/>
      <c r="I381" s="10"/>
    </row>
    <row r="382" customFormat="false" ht="18" hidden="false" customHeight="true" outlineLevel="0" collapsed="false">
      <c r="B382" s="42"/>
      <c r="C382" s="13"/>
      <c r="D382" s="14"/>
      <c r="E382" s="17"/>
      <c r="F382" s="44" t="str">
        <f aca="false">IF(OR(D382="",E382=""),"",D382*E382)</f>
        <v/>
      </c>
      <c r="G382" s="13"/>
      <c r="H382" s="43"/>
      <c r="I382" s="13"/>
    </row>
    <row r="383" customFormat="false" ht="18" hidden="false" customHeight="true" outlineLevel="0" collapsed="false">
      <c r="B383" s="40"/>
      <c r="C383" s="10"/>
      <c r="D383" s="11"/>
      <c r="E383" s="18"/>
      <c r="F383" s="35" t="str">
        <f aca="false">IF(OR(D383="",E383=""),"",D383*E383)</f>
        <v/>
      </c>
      <c r="G383" s="10"/>
      <c r="H383" s="41"/>
      <c r="I383" s="10"/>
    </row>
    <row r="384" customFormat="false" ht="18" hidden="false" customHeight="true" outlineLevel="0" collapsed="false">
      <c r="B384" s="42"/>
      <c r="C384" s="13"/>
      <c r="D384" s="14"/>
      <c r="E384" s="17"/>
      <c r="F384" s="44" t="str">
        <f aca="false">IF(OR(D384="",E384=""),"",D384*E384)</f>
        <v/>
      </c>
      <c r="G384" s="13"/>
      <c r="H384" s="43"/>
      <c r="I384" s="13"/>
    </row>
    <row r="385" customFormat="false" ht="18" hidden="false" customHeight="true" outlineLevel="0" collapsed="false">
      <c r="B385" s="40"/>
      <c r="C385" s="10"/>
      <c r="D385" s="11"/>
      <c r="E385" s="18"/>
      <c r="F385" s="35" t="str">
        <f aca="false">IF(OR(D385="",E385=""),"",D385*E385)</f>
        <v/>
      </c>
      <c r="G385" s="10"/>
      <c r="H385" s="41"/>
      <c r="I385" s="10"/>
    </row>
    <row r="386" customFormat="false" ht="18" hidden="false" customHeight="true" outlineLevel="0" collapsed="false">
      <c r="B386" s="42"/>
      <c r="C386" s="13"/>
      <c r="D386" s="14"/>
      <c r="E386" s="17"/>
      <c r="F386" s="44" t="str">
        <f aca="false">IF(OR(D386="",E386=""),"",D386*E386)</f>
        <v/>
      </c>
      <c r="G386" s="13"/>
      <c r="H386" s="43"/>
      <c r="I386" s="13"/>
    </row>
    <row r="387" customFormat="false" ht="18" hidden="false" customHeight="true" outlineLevel="0" collapsed="false">
      <c r="B387" s="40"/>
      <c r="C387" s="10"/>
      <c r="D387" s="11"/>
      <c r="E387" s="18"/>
      <c r="F387" s="35" t="str">
        <f aca="false">IF(OR(D387="",E387=""),"",D387*E387)</f>
        <v/>
      </c>
      <c r="G387" s="10"/>
      <c r="H387" s="41"/>
      <c r="I387" s="10"/>
    </row>
    <row r="388" customFormat="false" ht="18" hidden="false" customHeight="true" outlineLevel="0" collapsed="false">
      <c r="B388" s="42"/>
      <c r="C388" s="13"/>
      <c r="D388" s="14"/>
      <c r="E388" s="17"/>
      <c r="F388" s="44" t="str">
        <f aca="false">IF(OR(D388="",E388=""),"",D388*E388)</f>
        <v/>
      </c>
      <c r="G388" s="13"/>
      <c r="H388" s="43"/>
      <c r="I388" s="13"/>
    </row>
    <row r="389" customFormat="false" ht="18" hidden="false" customHeight="true" outlineLevel="0" collapsed="false">
      <c r="B389" s="40"/>
      <c r="C389" s="10"/>
      <c r="D389" s="11"/>
      <c r="E389" s="18"/>
      <c r="F389" s="35" t="str">
        <f aca="false">IF(OR(D389="",E389=""),"",D389*E389)</f>
        <v/>
      </c>
      <c r="G389" s="10"/>
      <c r="H389" s="41"/>
      <c r="I389" s="10"/>
    </row>
    <row r="390" customFormat="false" ht="18" hidden="false" customHeight="true" outlineLevel="0" collapsed="false">
      <c r="B390" s="42"/>
      <c r="C390" s="13"/>
      <c r="D390" s="14"/>
      <c r="E390" s="17"/>
      <c r="F390" s="44" t="str">
        <f aca="false">IF(OR(D390="",E390=""),"",D390*E390)</f>
        <v/>
      </c>
      <c r="G390" s="13"/>
      <c r="H390" s="43"/>
      <c r="I390" s="13"/>
    </row>
    <row r="391" customFormat="false" ht="18" hidden="false" customHeight="true" outlineLevel="0" collapsed="false">
      <c r="B391" s="40"/>
      <c r="C391" s="10"/>
      <c r="D391" s="11"/>
      <c r="E391" s="18"/>
      <c r="F391" s="35" t="str">
        <f aca="false">IF(OR(D391="",E391=""),"",D391*E391)</f>
        <v/>
      </c>
      <c r="G391" s="10"/>
      <c r="H391" s="41"/>
      <c r="I391" s="10"/>
    </row>
    <row r="392" customFormat="false" ht="18" hidden="false" customHeight="true" outlineLevel="0" collapsed="false">
      <c r="B392" s="42"/>
      <c r="C392" s="13"/>
      <c r="D392" s="14"/>
      <c r="E392" s="17"/>
      <c r="F392" s="44" t="str">
        <f aca="false">IF(OR(D392="",E392=""),"",D392*E392)</f>
        <v/>
      </c>
      <c r="G392" s="13"/>
      <c r="H392" s="43"/>
      <c r="I392" s="13"/>
    </row>
    <row r="393" customFormat="false" ht="18" hidden="false" customHeight="true" outlineLevel="0" collapsed="false">
      <c r="B393" s="40"/>
      <c r="C393" s="10"/>
      <c r="D393" s="11"/>
      <c r="E393" s="18"/>
      <c r="F393" s="35" t="str">
        <f aca="false">IF(OR(D393="",E393=""),"",D393*E393)</f>
        <v/>
      </c>
      <c r="G393" s="10"/>
      <c r="H393" s="41"/>
      <c r="I393" s="10"/>
    </row>
    <row r="394" customFormat="false" ht="18" hidden="false" customHeight="true" outlineLevel="0" collapsed="false">
      <c r="B394" s="42"/>
      <c r="C394" s="13"/>
      <c r="D394" s="14"/>
      <c r="E394" s="17"/>
      <c r="F394" s="44" t="str">
        <f aca="false">IF(OR(D394="",E394=""),"",D394*E394)</f>
        <v/>
      </c>
      <c r="G394" s="13"/>
      <c r="H394" s="43"/>
      <c r="I394" s="13"/>
    </row>
    <row r="395" customFormat="false" ht="18" hidden="false" customHeight="true" outlineLevel="0" collapsed="false">
      <c r="B395" s="40"/>
      <c r="C395" s="10"/>
      <c r="D395" s="11"/>
      <c r="E395" s="18"/>
      <c r="F395" s="35" t="str">
        <f aca="false">IF(OR(D395="",E395=""),"",D395*E395)</f>
        <v/>
      </c>
      <c r="G395" s="10"/>
      <c r="H395" s="41"/>
      <c r="I395" s="10"/>
    </row>
    <row r="396" customFormat="false" ht="18" hidden="false" customHeight="true" outlineLevel="0" collapsed="false">
      <c r="B396" s="42"/>
      <c r="C396" s="13"/>
      <c r="D396" s="14"/>
      <c r="E396" s="17"/>
      <c r="F396" s="44" t="str">
        <f aca="false">IF(OR(D396="",E396=""),"",D396*E396)</f>
        <v/>
      </c>
      <c r="G396" s="13"/>
      <c r="H396" s="43"/>
      <c r="I396" s="13"/>
    </row>
    <row r="397" customFormat="false" ht="18" hidden="false" customHeight="true" outlineLevel="0" collapsed="false">
      <c r="B397" s="40"/>
      <c r="C397" s="10"/>
      <c r="D397" s="11"/>
      <c r="E397" s="18"/>
      <c r="F397" s="35" t="str">
        <f aca="false">IF(OR(D397="",E397=""),"",D397*E397)</f>
        <v/>
      </c>
      <c r="G397" s="10"/>
      <c r="H397" s="41"/>
      <c r="I397" s="10"/>
    </row>
    <row r="398" customFormat="false" ht="18" hidden="false" customHeight="true" outlineLevel="0" collapsed="false">
      <c r="B398" s="42"/>
      <c r="C398" s="13"/>
      <c r="D398" s="14"/>
      <c r="E398" s="17"/>
      <c r="F398" s="44" t="str">
        <f aca="false">IF(OR(D398="",E398=""),"",D398*E398)</f>
        <v/>
      </c>
      <c r="G398" s="13"/>
      <c r="H398" s="43"/>
      <c r="I398" s="13"/>
    </row>
    <row r="399" customFormat="false" ht="18" hidden="false" customHeight="true" outlineLevel="0" collapsed="false">
      <c r="B399" s="40"/>
      <c r="C399" s="10"/>
      <c r="D399" s="11"/>
      <c r="E399" s="18"/>
      <c r="F399" s="35" t="str">
        <f aca="false">IF(OR(D399="",E399=""),"",D399*E399)</f>
        <v/>
      </c>
      <c r="G399" s="10"/>
      <c r="H399" s="41"/>
      <c r="I399" s="10"/>
    </row>
    <row r="400" customFormat="false" ht="18" hidden="false" customHeight="true" outlineLevel="0" collapsed="false">
      <c r="B400" s="42"/>
      <c r="C400" s="13"/>
      <c r="D400" s="14"/>
      <c r="E400" s="17"/>
      <c r="F400" s="44" t="str">
        <f aca="false">IF(OR(D400="",E400=""),"",D400*E400)</f>
        <v/>
      </c>
      <c r="G400" s="13"/>
      <c r="H400" s="43"/>
      <c r="I400" s="13"/>
    </row>
    <row r="401" customFormat="false" ht="18" hidden="false" customHeight="true" outlineLevel="0" collapsed="false">
      <c r="B401" s="40"/>
      <c r="C401" s="10"/>
      <c r="D401" s="11"/>
      <c r="E401" s="18"/>
      <c r="F401" s="35" t="str">
        <f aca="false">IF(OR(D401="",E401=""),"",D401*E401)</f>
        <v/>
      </c>
      <c r="G401" s="10"/>
      <c r="H401" s="41"/>
      <c r="I401" s="10"/>
    </row>
    <row r="402" customFormat="false" ht="18" hidden="false" customHeight="true" outlineLevel="0" collapsed="false">
      <c r="B402" s="42"/>
      <c r="C402" s="13"/>
      <c r="D402" s="14"/>
      <c r="E402" s="17"/>
      <c r="F402" s="44" t="str">
        <f aca="false">IF(OR(D402="",E402=""),"",D402*E402)</f>
        <v/>
      </c>
      <c r="G402" s="13"/>
      <c r="H402" s="43"/>
      <c r="I402" s="13"/>
    </row>
    <row r="403" customFormat="false" ht="18" hidden="false" customHeight="true" outlineLevel="0" collapsed="false">
      <c r="B403" s="40"/>
      <c r="C403" s="10"/>
      <c r="D403" s="11"/>
      <c r="E403" s="18"/>
      <c r="F403" s="35" t="str">
        <f aca="false">IF(OR(D403="",E403=""),"",D403*E403)</f>
        <v/>
      </c>
      <c r="G403" s="10"/>
      <c r="H403" s="41"/>
      <c r="I403" s="10"/>
    </row>
    <row r="404" customFormat="false" ht="18" hidden="false" customHeight="true" outlineLevel="0" collapsed="false">
      <c r="B404" s="42"/>
      <c r="C404" s="13"/>
      <c r="D404" s="14"/>
      <c r="E404" s="17"/>
      <c r="F404" s="44" t="str">
        <f aca="false">IF(OR(D404="",E404=""),"",D404*E404)</f>
        <v/>
      </c>
      <c r="G404" s="13"/>
      <c r="H404" s="43"/>
      <c r="I404" s="13"/>
    </row>
    <row r="405" customFormat="false" ht="18" hidden="false" customHeight="true" outlineLevel="0" collapsed="false">
      <c r="B405" s="40"/>
      <c r="C405" s="10"/>
      <c r="D405" s="11"/>
      <c r="E405" s="18"/>
      <c r="F405" s="35" t="str">
        <f aca="false">IF(OR(D405="",E405=""),"",D405*E405)</f>
        <v/>
      </c>
      <c r="G405" s="10"/>
      <c r="H405" s="41"/>
      <c r="I405" s="10"/>
    </row>
    <row r="406" customFormat="false" ht="18" hidden="false" customHeight="true" outlineLevel="0" collapsed="false">
      <c r="B406" s="42"/>
      <c r="C406" s="13"/>
      <c r="D406" s="14"/>
      <c r="E406" s="17"/>
      <c r="F406" s="44" t="str">
        <f aca="false">IF(OR(D406="",E406=""),"",D406*E406)</f>
        <v/>
      </c>
      <c r="G406" s="13"/>
      <c r="H406" s="43"/>
      <c r="I406" s="13"/>
    </row>
    <row r="407" customFormat="false" ht="18" hidden="false" customHeight="true" outlineLevel="0" collapsed="false">
      <c r="B407" s="40"/>
      <c r="C407" s="10"/>
      <c r="D407" s="11"/>
      <c r="E407" s="18"/>
      <c r="F407" s="35" t="str">
        <f aca="false">IF(OR(D407="",E407=""),"",D407*E407)</f>
        <v/>
      </c>
      <c r="G407" s="10"/>
      <c r="H407" s="41"/>
      <c r="I407" s="10"/>
    </row>
    <row r="408" customFormat="false" ht="18" hidden="false" customHeight="true" outlineLevel="0" collapsed="false">
      <c r="B408" s="42"/>
      <c r="C408" s="13"/>
      <c r="D408" s="14"/>
      <c r="E408" s="17"/>
      <c r="F408" s="44" t="str">
        <f aca="false">IF(OR(D408="",E408=""),"",D408*E408)</f>
        <v/>
      </c>
      <c r="G408" s="13"/>
      <c r="H408" s="43"/>
      <c r="I408" s="13"/>
    </row>
    <row r="409" customFormat="false" ht="18" hidden="false" customHeight="true" outlineLevel="0" collapsed="false">
      <c r="B409" s="40"/>
      <c r="C409" s="10"/>
      <c r="D409" s="11"/>
      <c r="E409" s="18"/>
      <c r="F409" s="35" t="str">
        <f aca="false">IF(OR(D409="",E409=""),"",D409*E409)</f>
        <v/>
      </c>
      <c r="G409" s="10"/>
      <c r="H409" s="41"/>
      <c r="I409" s="10"/>
    </row>
    <row r="410" customFormat="false" ht="18" hidden="false" customHeight="true" outlineLevel="0" collapsed="false">
      <c r="B410" s="42"/>
      <c r="C410" s="13"/>
      <c r="D410" s="14"/>
      <c r="E410" s="17"/>
      <c r="F410" s="44" t="str">
        <f aca="false">IF(OR(D410="",E410=""),"",D410*E410)</f>
        <v/>
      </c>
      <c r="G410" s="13"/>
      <c r="H410" s="43"/>
      <c r="I410" s="13"/>
    </row>
    <row r="411" customFormat="false" ht="18" hidden="false" customHeight="true" outlineLevel="0" collapsed="false">
      <c r="B411" s="40"/>
      <c r="C411" s="10"/>
      <c r="D411" s="11"/>
      <c r="E411" s="18"/>
      <c r="F411" s="35" t="str">
        <f aca="false">IF(OR(D411="",E411=""),"",D411*E411)</f>
        <v/>
      </c>
      <c r="G411" s="10"/>
      <c r="H411" s="41"/>
      <c r="I411" s="10"/>
    </row>
    <row r="412" customFormat="false" ht="18" hidden="false" customHeight="true" outlineLevel="0" collapsed="false">
      <c r="B412" s="42"/>
      <c r="C412" s="13"/>
      <c r="D412" s="14"/>
      <c r="E412" s="17"/>
      <c r="F412" s="44" t="str">
        <f aca="false">IF(OR(D412="",E412=""),"",D412*E412)</f>
        <v/>
      </c>
      <c r="G412" s="13"/>
      <c r="H412" s="43"/>
      <c r="I412" s="13"/>
    </row>
    <row r="413" customFormat="false" ht="18" hidden="false" customHeight="true" outlineLevel="0" collapsed="false">
      <c r="B413" s="40"/>
      <c r="C413" s="10"/>
      <c r="D413" s="11"/>
      <c r="E413" s="18"/>
      <c r="F413" s="35" t="str">
        <f aca="false">IF(OR(D413="",E413=""),"",D413*E413)</f>
        <v/>
      </c>
      <c r="G413" s="10"/>
      <c r="H413" s="41"/>
      <c r="I413" s="10"/>
    </row>
    <row r="414" customFormat="false" ht="18" hidden="false" customHeight="true" outlineLevel="0" collapsed="false">
      <c r="B414" s="42"/>
      <c r="C414" s="13"/>
      <c r="D414" s="14"/>
      <c r="E414" s="17"/>
      <c r="F414" s="44" t="str">
        <f aca="false">IF(OR(D414="",E414=""),"",D414*E414)</f>
        <v/>
      </c>
      <c r="G414" s="13"/>
      <c r="H414" s="43"/>
      <c r="I414" s="13"/>
    </row>
    <row r="415" customFormat="false" ht="18" hidden="false" customHeight="true" outlineLevel="0" collapsed="false">
      <c r="B415" s="40"/>
      <c r="C415" s="10"/>
      <c r="D415" s="11"/>
      <c r="E415" s="18"/>
      <c r="F415" s="35" t="str">
        <f aca="false">IF(OR(D415="",E415=""),"",D415*E415)</f>
        <v/>
      </c>
      <c r="G415" s="10"/>
      <c r="H415" s="41"/>
      <c r="I415" s="10"/>
    </row>
    <row r="416" customFormat="false" ht="18" hidden="false" customHeight="true" outlineLevel="0" collapsed="false">
      <c r="B416" s="42"/>
      <c r="C416" s="13"/>
      <c r="D416" s="14"/>
      <c r="E416" s="17"/>
      <c r="F416" s="44" t="str">
        <f aca="false">IF(OR(D416="",E416=""),"",D416*E416)</f>
        <v/>
      </c>
      <c r="G416" s="13"/>
      <c r="H416" s="43"/>
      <c r="I416" s="13"/>
    </row>
    <row r="417" customFormat="false" ht="18" hidden="false" customHeight="true" outlineLevel="0" collapsed="false">
      <c r="B417" s="40"/>
      <c r="C417" s="10"/>
      <c r="D417" s="11"/>
      <c r="E417" s="18"/>
      <c r="F417" s="35" t="str">
        <f aca="false">IF(OR(D417="",E417=""),"",D417*E417)</f>
        <v/>
      </c>
      <c r="G417" s="10"/>
      <c r="H417" s="41"/>
      <c r="I417" s="10"/>
    </row>
    <row r="418" customFormat="false" ht="18" hidden="false" customHeight="true" outlineLevel="0" collapsed="false">
      <c r="B418" s="42"/>
      <c r="C418" s="13"/>
      <c r="D418" s="14"/>
      <c r="E418" s="17"/>
      <c r="F418" s="44" t="str">
        <f aca="false">IF(OR(D418="",E418=""),"",D418*E418)</f>
        <v/>
      </c>
      <c r="G418" s="13"/>
      <c r="H418" s="43"/>
      <c r="I418" s="13"/>
    </row>
    <row r="419" customFormat="false" ht="18" hidden="false" customHeight="true" outlineLevel="0" collapsed="false">
      <c r="B419" s="40"/>
      <c r="C419" s="10"/>
      <c r="D419" s="11"/>
      <c r="E419" s="18"/>
      <c r="F419" s="35" t="str">
        <f aca="false">IF(OR(D419="",E419=""),"",D419*E419)</f>
        <v/>
      </c>
      <c r="G419" s="10"/>
      <c r="H419" s="41"/>
      <c r="I419" s="10"/>
    </row>
    <row r="420" customFormat="false" ht="18" hidden="false" customHeight="true" outlineLevel="0" collapsed="false">
      <c r="B420" s="42"/>
      <c r="C420" s="13"/>
      <c r="D420" s="14"/>
      <c r="E420" s="17"/>
      <c r="F420" s="44" t="str">
        <f aca="false">IF(OR(D420="",E420=""),"",D420*E420)</f>
        <v/>
      </c>
      <c r="G420" s="13"/>
      <c r="H420" s="43"/>
      <c r="I420" s="13"/>
    </row>
    <row r="421" customFormat="false" ht="18" hidden="false" customHeight="true" outlineLevel="0" collapsed="false">
      <c r="B421" s="40"/>
      <c r="C421" s="10"/>
      <c r="D421" s="11"/>
      <c r="E421" s="18"/>
      <c r="F421" s="35" t="str">
        <f aca="false">IF(OR(D421="",E421=""),"",D421*E421)</f>
        <v/>
      </c>
      <c r="G421" s="10"/>
      <c r="H421" s="41"/>
      <c r="I421" s="10"/>
    </row>
    <row r="422" customFormat="false" ht="18" hidden="false" customHeight="true" outlineLevel="0" collapsed="false">
      <c r="B422" s="42"/>
      <c r="C422" s="13"/>
      <c r="D422" s="14"/>
      <c r="E422" s="17"/>
      <c r="F422" s="44" t="str">
        <f aca="false">IF(OR(D422="",E422=""),"",D422*E422)</f>
        <v/>
      </c>
      <c r="G422" s="13"/>
      <c r="H422" s="43"/>
      <c r="I422" s="13"/>
    </row>
    <row r="423" customFormat="false" ht="18" hidden="false" customHeight="true" outlineLevel="0" collapsed="false">
      <c r="B423" s="40"/>
      <c r="C423" s="10"/>
      <c r="D423" s="11"/>
      <c r="E423" s="18"/>
      <c r="F423" s="35" t="str">
        <f aca="false">IF(OR(D423="",E423=""),"",D423*E423)</f>
        <v/>
      </c>
      <c r="G423" s="10"/>
      <c r="H423" s="41"/>
      <c r="I423" s="10"/>
    </row>
    <row r="424" customFormat="false" ht="18" hidden="false" customHeight="true" outlineLevel="0" collapsed="false">
      <c r="B424" s="42"/>
      <c r="C424" s="13"/>
      <c r="D424" s="14"/>
      <c r="E424" s="17"/>
      <c r="F424" s="44" t="str">
        <f aca="false">IF(OR(D424="",E424=""),"",D424*E424)</f>
        <v/>
      </c>
      <c r="G424" s="13"/>
      <c r="H424" s="43"/>
      <c r="I424" s="13"/>
    </row>
    <row r="425" customFormat="false" ht="18" hidden="false" customHeight="true" outlineLevel="0" collapsed="false">
      <c r="B425" s="40"/>
      <c r="C425" s="10"/>
      <c r="D425" s="11"/>
      <c r="E425" s="18"/>
      <c r="F425" s="35" t="str">
        <f aca="false">IF(OR(D425="",E425=""),"",D425*E425)</f>
        <v/>
      </c>
      <c r="G425" s="10"/>
      <c r="H425" s="41"/>
      <c r="I425" s="10"/>
    </row>
    <row r="426" customFormat="false" ht="18" hidden="false" customHeight="true" outlineLevel="0" collapsed="false">
      <c r="B426" s="42"/>
      <c r="C426" s="13"/>
      <c r="D426" s="14"/>
      <c r="E426" s="17"/>
      <c r="F426" s="44" t="str">
        <f aca="false">IF(OR(D426="",E426=""),"",D426*E426)</f>
        <v/>
      </c>
      <c r="G426" s="13"/>
      <c r="H426" s="43"/>
      <c r="I426" s="13"/>
    </row>
    <row r="427" customFormat="false" ht="18" hidden="false" customHeight="true" outlineLevel="0" collapsed="false">
      <c r="B427" s="40"/>
      <c r="C427" s="10"/>
      <c r="D427" s="11"/>
      <c r="E427" s="18"/>
      <c r="F427" s="35" t="str">
        <f aca="false">IF(OR(D427="",E427=""),"",D427*E427)</f>
        <v/>
      </c>
      <c r="G427" s="10"/>
      <c r="H427" s="41"/>
      <c r="I427" s="10"/>
    </row>
    <row r="428" customFormat="false" ht="18" hidden="false" customHeight="true" outlineLevel="0" collapsed="false">
      <c r="B428" s="42"/>
      <c r="C428" s="13"/>
      <c r="D428" s="14"/>
      <c r="E428" s="17"/>
      <c r="F428" s="44" t="str">
        <f aca="false">IF(OR(D428="",E428=""),"",D428*E428)</f>
        <v/>
      </c>
      <c r="G428" s="13"/>
      <c r="H428" s="43"/>
      <c r="I428" s="13"/>
    </row>
    <row r="429" customFormat="false" ht="18" hidden="false" customHeight="true" outlineLevel="0" collapsed="false">
      <c r="B429" s="40"/>
      <c r="C429" s="10"/>
      <c r="D429" s="11"/>
      <c r="E429" s="18"/>
      <c r="F429" s="35" t="str">
        <f aca="false">IF(OR(D429="",E429=""),"",D429*E429)</f>
        <v/>
      </c>
      <c r="G429" s="10"/>
      <c r="H429" s="41"/>
      <c r="I429" s="10"/>
    </row>
    <row r="430" customFormat="false" ht="18" hidden="false" customHeight="true" outlineLevel="0" collapsed="false">
      <c r="B430" s="42"/>
      <c r="C430" s="13"/>
      <c r="D430" s="14"/>
      <c r="E430" s="17"/>
      <c r="F430" s="44" t="str">
        <f aca="false">IF(OR(D430="",E430=""),"",D430*E430)</f>
        <v/>
      </c>
      <c r="G430" s="13"/>
      <c r="H430" s="43"/>
      <c r="I430" s="13"/>
    </row>
    <row r="431" customFormat="false" ht="18" hidden="false" customHeight="true" outlineLevel="0" collapsed="false">
      <c r="B431" s="40"/>
      <c r="C431" s="10"/>
      <c r="D431" s="11"/>
      <c r="E431" s="18"/>
      <c r="F431" s="35" t="str">
        <f aca="false">IF(OR(D431="",E431=""),"",D431*E431)</f>
        <v/>
      </c>
      <c r="G431" s="10"/>
      <c r="H431" s="41"/>
      <c r="I431" s="10"/>
    </row>
    <row r="432" customFormat="false" ht="18" hidden="false" customHeight="true" outlineLevel="0" collapsed="false">
      <c r="B432" s="42"/>
      <c r="C432" s="13"/>
      <c r="D432" s="14"/>
      <c r="E432" s="17"/>
      <c r="F432" s="44" t="str">
        <f aca="false">IF(OR(D432="",E432=""),"",D432*E432)</f>
        <v/>
      </c>
      <c r="G432" s="13"/>
      <c r="H432" s="43"/>
      <c r="I432" s="13"/>
    </row>
    <row r="433" customFormat="false" ht="18" hidden="false" customHeight="true" outlineLevel="0" collapsed="false">
      <c r="B433" s="40"/>
      <c r="C433" s="10"/>
      <c r="D433" s="11"/>
      <c r="E433" s="18"/>
      <c r="F433" s="35" t="str">
        <f aca="false">IF(OR(D433="",E433=""),"",D433*E433)</f>
        <v/>
      </c>
      <c r="G433" s="10"/>
      <c r="H433" s="41"/>
      <c r="I433" s="10"/>
    </row>
    <row r="434" customFormat="false" ht="18" hidden="false" customHeight="true" outlineLevel="0" collapsed="false">
      <c r="B434" s="42"/>
      <c r="C434" s="13"/>
      <c r="D434" s="14"/>
      <c r="E434" s="17"/>
      <c r="F434" s="44" t="str">
        <f aca="false">IF(OR(D434="",E434=""),"",D434*E434)</f>
        <v/>
      </c>
      <c r="G434" s="13"/>
      <c r="H434" s="43"/>
      <c r="I434" s="13"/>
    </row>
    <row r="435" customFormat="false" ht="18" hidden="false" customHeight="true" outlineLevel="0" collapsed="false">
      <c r="B435" s="40"/>
      <c r="C435" s="10"/>
      <c r="D435" s="11"/>
      <c r="E435" s="18"/>
      <c r="F435" s="35" t="str">
        <f aca="false">IF(OR(D435="",E435=""),"",D435*E435)</f>
        <v/>
      </c>
      <c r="G435" s="10"/>
      <c r="H435" s="41"/>
      <c r="I435" s="10"/>
    </row>
    <row r="436" customFormat="false" ht="18" hidden="false" customHeight="true" outlineLevel="0" collapsed="false">
      <c r="B436" s="42"/>
      <c r="C436" s="13"/>
      <c r="D436" s="14"/>
      <c r="E436" s="17"/>
      <c r="F436" s="44" t="str">
        <f aca="false">IF(OR(D436="",E436=""),"",D436*E436)</f>
        <v/>
      </c>
      <c r="G436" s="13"/>
      <c r="H436" s="43"/>
      <c r="I436" s="13"/>
    </row>
    <row r="437" customFormat="false" ht="18" hidden="false" customHeight="true" outlineLevel="0" collapsed="false">
      <c r="B437" s="40"/>
      <c r="C437" s="10"/>
      <c r="D437" s="11"/>
      <c r="E437" s="18"/>
      <c r="F437" s="35" t="str">
        <f aca="false">IF(OR(D437="",E437=""),"",D437*E437)</f>
        <v/>
      </c>
      <c r="G437" s="10"/>
      <c r="H437" s="41"/>
      <c r="I437" s="10"/>
    </row>
    <row r="438" customFormat="false" ht="18" hidden="false" customHeight="true" outlineLevel="0" collapsed="false">
      <c r="B438" s="42"/>
      <c r="C438" s="13"/>
      <c r="D438" s="14"/>
      <c r="E438" s="17"/>
      <c r="F438" s="44" t="str">
        <f aca="false">IF(OR(D438="",E438=""),"",D438*E438)</f>
        <v/>
      </c>
      <c r="G438" s="13"/>
      <c r="H438" s="43"/>
      <c r="I438" s="13"/>
    </row>
    <row r="439" customFormat="false" ht="18" hidden="false" customHeight="true" outlineLevel="0" collapsed="false">
      <c r="B439" s="40"/>
      <c r="C439" s="10"/>
      <c r="D439" s="11"/>
      <c r="E439" s="18"/>
      <c r="F439" s="35" t="str">
        <f aca="false">IF(OR(D439="",E439=""),"",D439*E439)</f>
        <v/>
      </c>
      <c r="G439" s="10"/>
      <c r="H439" s="41"/>
      <c r="I439" s="10"/>
    </row>
    <row r="440" customFormat="false" ht="18" hidden="false" customHeight="true" outlineLevel="0" collapsed="false">
      <c r="B440" s="42"/>
      <c r="C440" s="13"/>
      <c r="D440" s="14"/>
      <c r="E440" s="17"/>
      <c r="F440" s="44" t="str">
        <f aca="false">IF(OR(D440="",E440=""),"",D440*E440)</f>
        <v/>
      </c>
      <c r="G440" s="13"/>
      <c r="H440" s="43"/>
      <c r="I440" s="13"/>
    </row>
    <row r="441" customFormat="false" ht="18" hidden="false" customHeight="true" outlineLevel="0" collapsed="false">
      <c r="B441" s="40"/>
      <c r="C441" s="10"/>
      <c r="D441" s="11"/>
      <c r="E441" s="18"/>
      <c r="F441" s="35" t="str">
        <f aca="false">IF(OR(D441="",E441=""),"",D441*E441)</f>
        <v/>
      </c>
      <c r="G441" s="10"/>
      <c r="H441" s="41"/>
      <c r="I441" s="10"/>
    </row>
    <row r="442" customFormat="false" ht="18" hidden="false" customHeight="true" outlineLevel="0" collapsed="false">
      <c r="B442" s="42"/>
      <c r="C442" s="13"/>
      <c r="D442" s="14"/>
      <c r="E442" s="17"/>
      <c r="F442" s="44" t="str">
        <f aca="false">IF(OR(D442="",E442=""),"",D442*E442)</f>
        <v/>
      </c>
      <c r="G442" s="13"/>
      <c r="H442" s="43"/>
      <c r="I442" s="13"/>
    </row>
    <row r="443" customFormat="false" ht="18" hidden="false" customHeight="true" outlineLevel="0" collapsed="false">
      <c r="B443" s="40"/>
      <c r="C443" s="10"/>
      <c r="D443" s="11"/>
      <c r="E443" s="18"/>
      <c r="F443" s="35" t="str">
        <f aca="false">IF(OR(D443="",E443=""),"",D443*E443)</f>
        <v/>
      </c>
      <c r="G443" s="10"/>
      <c r="H443" s="41"/>
      <c r="I443" s="10"/>
    </row>
    <row r="444" customFormat="false" ht="18" hidden="false" customHeight="true" outlineLevel="0" collapsed="false">
      <c r="B444" s="42"/>
      <c r="C444" s="13"/>
      <c r="D444" s="14"/>
      <c r="E444" s="17"/>
      <c r="F444" s="44" t="str">
        <f aca="false">IF(OR(D444="",E444=""),"",D444*E444)</f>
        <v/>
      </c>
      <c r="G444" s="13"/>
      <c r="H444" s="43"/>
      <c r="I444" s="13"/>
    </row>
    <row r="445" customFormat="false" ht="18" hidden="false" customHeight="true" outlineLevel="0" collapsed="false">
      <c r="B445" s="40"/>
      <c r="C445" s="10"/>
      <c r="D445" s="11"/>
      <c r="E445" s="18"/>
      <c r="F445" s="35" t="str">
        <f aca="false">IF(OR(D445="",E445=""),"",D445*E445)</f>
        <v/>
      </c>
      <c r="G445" s="10"/>
      <c r="H445" s="41"/>
      <c r="I445" s="10"/>
    </row>
    <row r="446" customFormat="false" ht="18" hidden="false" customHeight="true" outlineLevel="0" collapsed="false">
      <c r="B446" s="42"/>
      <c r="C446" s="13"/>
      <c r="D446" s="14"/>
      <c r="E446" s="17"/>
      <c r="F446" s="44" t="str">
        <f aca="false">IF(OR(D446="",E446=""),"",D446*E446)</f>
        <v/>
      </c>
      <c r="G446" s="13"/>
      <c r="H446" s="43"/>
      <c r="I446" s="13"/>
    </row>
    <row r="447" customFormat="false" ht="18" hidden="false" customHeight="true" outlineLevel="0" collapsed="false">
      <c r="B447" s="40"/>
      <c r="C447" s="10"/>
      <c r="D447" s="11"/>
      <c r="E447" s="18"/>
      <c r="F447" s="35" t="str">
        <f aca="false">IF(OR(D447="",E447=""),"",D447*E447)</f>
        <v/>
      </c>
      <c r="G447" s="10"/>
      <c r="H447" s="41"/>
      <c r="I447" s="10"/>
    </row>
    <row r="448" customFormat="false" ht="18" hidden="false" customHeight="true" outlineLevel="0" collapsed="false">
      <c r="B448" s="42"/>
      <c r="C448" s="13"/>
      <c r="D448" s="14"/>
      <c r="E448" s="17"/>
      <c r="F448" s="44" t="str">
        <f aca="false">IF(OR(D448="",E448=""),"",D448*E448)</f>
        <v/>
      </c>
      <c r="G448" s="13"/>
      <c r="H448" s="43"/>
      <c r="I448" s="13"/>
    </row>
    <row r="449" customFormat="false" ht="18" hidden="false" customHeight="true" outlineLevel="0" collapsed="false">
      <c r="B449" s="40"/>
      <c r="C449" s="10"/>
      <c r="D449" s="11"/>
      <c r="E449" s="18"/>
      <c r="F449" s="35" t="str">
        <f aca="false">IF(OR(D449="",E449=""),"",D449*E449)</f>
        <v/>
      </c>
      <c r="G449" s="10"/>
      <c r="H449" s="41"/>
      <c r="I449" s="10"/>
    </row>
    <row r="450" customFormat="false" ht="18" hidden="false" customHeight="true" outlineLevel="0" collapsed="false">
      <c r="B450" s="42"/>
      <c r="C450" s="13"/>
      <c r="D450" s="14"/>
      <c r="E450" s="17"/>
      <c r="F450" s="44" t="str">
        <f aca="false">IF(OR(D450="",E450=""),"",D450*E450)</f>
        <v/>
      </c>
      <c r="G450" s="13"/>
      <c r="H450" s="43"/>
      <c r="I450" s="13"/>
    </row>
    <row r="451" customFormat="false" ht="18" hidden="false" customHeight="true" outlineLevel="0" collapsed="false">
      <c r="B451" s="40"/>
      <c r="C451" s="10"/>
      <c r="D451" s="11"/>
      <c r="E451" s="18"/>
      <c r="F451" s="35" t="str">
        <f aca="false">IF(OR(D451="",E451=""),"",D451*E451)</f>
        <v/>
      </c>
      <c r="G451" s="10"/>
      <c r="H451" s="41"/>
      <c r="I451" s="10"/>
    </row>
    <row r="452" customFormat="false" ht="18" hidden="false" customHeight="true" outlineLevel="0" collapsed="false">
      <c r="B452" s="42"/>
      <c r="C452" s="13"/>
      <c r="D452" s="14"/>
      <c r="E452" s="17"/>
      <c r="F452" s="44" t="str">
        <f aca="false">IF(OR(D452="",E452=""),"",D452*E452)</f>
        <v/>
      </c>
      <c r="G452" s="13"/>
      <c r="H452" s="43"/>
      <c r="I452" s="13"/>
    </row>
    <row r="453" customFormat="false" ht="18" hidden="false" customHeight="true" outlineLevel="0" collapsed="false">
      <c r="B453" s="40"/>
      <c r="C453" s="10"/>
      <c r="D453" s="11"/>
      <c r="E453" s="18"/>
      <c r="F453" s="35" t="str">
        <f aca="false">IF(OR(D453="",E453=""),"",D453*E453)</f>
        <v/>
      </c>
      <c r="G453" s="10"/>
      <c r="H453" s="41"/>
      <c r="I453" s="10"/>
    </row>
    <row r="454" customFormat="false" ht="18" hidden="false" customHeight="true" outlineLevel="0" collapsed="false">
      <c r="B454" s="42"/>
      <c r="C454" s="13"/>
      <c r="D454" s="14"/>
      <c r="E454" s="17"/>
      <c r="F454" s="44" t="str">
        <f aca="false">IF(OR(D454="",E454=""),"",D454*E454)</f>
        <v/>
      </c>
      <c r="G454" s="13"/>
      <c r="H454" s="43"/>
      <c r="I454" s="13"/>
    </row>
    <row r="455" customFormat="false" ht="18" hidden="false" customHeight="true" outlineLevel="0" collapsed="false">
      <c r="B455" s="40"/>
      <c r="C455" s="10"/>
      <c r="D455" s="11"/>
      <c r="E455" s="18"/>
      <c r="F455" s="35" t="str">
        <f aca="false">IF(OR(D455="",E455=""),"",D455*E455)</f>
        <v/>
      </c>
      <c r="G455" s="10"/>
      <c r="H455" s="41"/>
      <c r="I455" s="10"/>
    </row>
    <row r="456" customFormat="false" ht="18" hidden="false" customHeight="true" outlineLevel="0" collapsed="false">
      <c r="B456" s="42"/>
      <c r="C456" s="13"/>
      <c r="D456" s="14"/>
      <c r="E456" s="17"/>
      <c r="F456" s="44" t="str">
        <f aca="false">IF(OR(D456="",E456=""),"",D456*E456)</f>
        <v/>
      </c>
      <c r="G456" s="13"/>
      <c r="H456" s="43"/>
      <c r="I456" s="13"/>
    </row>
    <row r="457" customFormat="false" ht="18" hidden="false" customHeight="true" outlineLevel="0" collapsed="false">
      <c r="B457" s="40"/>
      <c r="C457" s="10"/>
      <c r="D457" s="11"/>
      <c r="E457" s="18"/>
      <c r="F457" s="35" t="str">
        <f aca="false">IF(OR(D457="",E457=""),"",D457*E457)</f>
        <v/>
      </c>
      <c r="G457" s="10"/>
      <c r="H457" s="41"/>
      <c r="I457" s="10"/>
    </row>
    <row r="458" customFormat="false" ht="18" hidden="false" customHeight="true" outlineLevel="0" collapsed="false">
      <c r="B458" s="42"/>
      <c r="C458" s="13"/>
      <c r="D458" s="14"/>
      <c r="E458" s="17"/>
      <c r="F458" s="44" t="str">
        <f aca="false">IF(OR(D458="",E458=""),"",D458*E458)</f>
        <v/>
      </c>
      <c r="G458" s="13"/>
      <c r="H458" s="43"/>
      <c r="I458" s="13"/>
    </row>
    <row r="459" customFormat="false" ht="18" hidden="false" customHeight="true" outlineLevel="0" collapsed="false">
      <c r="B459" s="40"/>
      <c r="C459" s="10"/>
      <c r="D459" s="11"/>
      <c r="E459" s="18"/>
      <c r="F459" s="35" t="str">
        <f aca="false">IF(OR(D459="",E459=""),"",D459*E459)</f>
        <v/>
      </c>
      <c r="G459" s="10"/>
      <c r="H459" s="41"/>
      <c r="I459" s="10"/>
    </row>
    <row r="460" customFormat="false" ht="18" hidden="false" customHeight="true" outlineLevel="0" collapsed="false">
      <c r="B460" s="42"/>
      <c r="C460" s="13"/>
      <c r="D460" s="14"/>
      <c r="E460" s="17"/>
      <c r="F460" s="44" t="str">
        <f aca="false">IF(OR(D460="",E460=""),"",D460*E460)</f>
        <v/>
      </c>
      <c r="G460" s="13"/>
      <c r="H460" s="43"/>
      <c r="I460" s="13"/>
    </row>
    <row r="461" customFormat="false" ht="18" hidden="false" customHeight="true" outlineLevel="0" collapsed="false">
      <c r="B461" s="40"/>
      <c r="C461" s="10"/>
      <c r="D461" s="11"/>
      <c r="E461" s="18"/>
      <c r="F461" s="35" t="str">
        <f aca="false">IF(OR(D461="",E461=""),"",D461*E461)</f>
        <v/>
      </c>
      <c r="G461" s="10"/>
      <c r="H461" s="41"/>
      <c r="I461" s="10"/>
    </row>
    <row r="462" customFormat="false" ht="18" hidden="false" customHeight="true" outlineLevel="0" collapsed="false">
      <c r="B462" s="42"/>
      <c r="C462" s="13"/>
      <c r="D462" s="14"/>
      <c r="E462" s="17"/>
      <c r="F462" s="44" t="str">
        <f aca="false">IF(OR(D462="",E462=""),"",D462*E462)</f>
        <v/>
      </c>
      <c r="G462" s="13"/>
      <c r="H462" s="43"/>
      <c r="I462" s="13"/>
    </row>
    <row r="463" customFormat="false" ht="18" hidden="false" customHeight="true" outlineLevel="0" collapsed="false">
      <c r="B463" s="40"/>
      <c r="C463" s="10"/>
      <c r="D463" s="11"/>
      <c r="E463" s="18"/>
      <c r="F463" s="35" t="str">
        <f aca="false">IF(OR(D463="",E463=""),"",D463*E463)</f>
        <v/>
      </c>
      <c r="G463" s="10"/>
      <c r="H463" s="41"/>
      <c r="I463" s="10"/>
    </row>
    <row r="464" customFormat="false" ht="18" hidden="false" customHeight="true" outlineLevel="0" collapsed="false">
      <c r="B464" s="42"/>
      <c r="C464" s="13"/>
      <c r="D464" s="14"/>
      <c r="E464" s="17"/>
      <c r="F464" s="44" t="str">
        <f aca="false">IF(OR(D464="",E464=""),"",D464*E464)</f>
        <v/>
      </c>
      <c r="G464" s="13"/>
      <c r="H464" s="43"/>
      <c r="I464" s="13"/>
    </row>
    <row r="465" customFormat="false" ht="18" hidden="false" customHeight="true" outlineLevel="0" collapsed="false">
      <c r="B465" s="40"/>
      <c r="C465" s="10"/>
      <c r="D465" s="11"/>
      <c r="E465" s="18"/>
      <c r="F465" s="35" t="str">
        <f aca="false">IF(OR(D465="",E465=""),"",D465*E465)</f>
        <v/>
      </c>
      <c r="G465" s="10"/>
      <c r="H465" s="41"/>
      <c r="I465" s="10"/>
    </row>
    <row r="466" customFormat="false" ht="18" hidden="false" customHeight="true" outlineLevel="0" collapsed="false">
      <c r="B466" s="42"/>
      <c r="C466" s="13"/>
      <c r="D466" s="14"/>
      <c r="E466" s="17"/>
      <c r="F466" s="44" t="str">
        <f aca="false">IF(OR(D466="",E466=""),"",D466*E466)</f>
        <v/>
      </c>
      <c r="G466" s="13"/>
      <c r="H466" s="43"/>
      <c r="I466" s="13"/>
    </row>
    <row r="467" customFormat="false" ht="18" hidden="false" customHeight="true" outlineLevel="0" collapsed="false">
      <c r="B467" s="40"/>
      <c r="C467" s="10"/>
      <c r="D467" s="11"/>
      <c r="E467" s="18"/>
      <c r="F467" s="35" t="str">
        <f aca="false">IF(OR(D467="",E467=""),"",D467*E467)</f>
        <v/>
      </c>
      <c r="G467" s="10"/>
      <c r="H467" s="41"/>
      <c r="I467" s="10"/>
    </row>
    <row r="468" customFormat="false" ht="18" hidden="false" customHeight="true" outlineLevel="0" collapsed="false">
      <c r="B468" s="42"/>
      <c r="C468" s="13"/>
      <c r="D468" s="14"/>
      <c r="E468" s="17"/>
      <c r="F468" s="44" t="str">
        <f aca="false">IF(OR(D468="",E468=""),"",D468*E468)</f>
        <v/>
      </c>
      <c r="G468" s="13"/>
      <c r="H468" s="43"/>
      <c r="I468" s="13"/>
    </row>
    <row r="469" customFormat="false" ht="18" hidden="false" customHeight="true" outlineLevel="0" collapsed="false">
      <c r="B469" s="40"/>
      <c r="C469" s="10"/>
      <c r="D469" s="11"/>
      <c r="E469" s="18"/>
      <c r="F469" s="35" t="str">
        <f aca="false">IF(OR(D469="",E469=""),"",D469*E469)</f>
        <v/>
      </c>
      <c r="G469" s="10"/>
      <c r="H469" s="41"/>
      <c r="I469" s="10"/>
    </row>
    <row r="470" customFormat="false" ht="18" hidden="false" customHeight="true" outlineLevel="0" collapsed="false">
      <c r="B470" s="42"/>
      <c r="C470" s="13"/>
      <c r="D470" s="14"/>
      <c r="E470" s="17"/>
      <c r="F470" s="44" t="str">
        <f aca="false">IF(OR(D470="",E470=""),"",D470*E470)</f>
        <v/>
      </c>
      <c r="G470" s="13"/>
      <c r="H470" s="43"/>
      <c r="I470" s="13"/>
    </row>
    <row r="471" customFormat="false" ht="18" hidden="false" customHeight="true" outlineLevel="0" collapsed="false">
      <c r="B471" s="40"/>
      <c r="C471" s="10"/>
      <c r="D471" s="11"/>
      <c r="E471" s="18"/>
      <c r="F471" s="35" t="str">
        <f aca="false">IF(OR(D471="",E471=""),"",D471*E471)</f>
        <v/>
      </c>
      <c r="G471" s="10"/>
      <c r="H471" s="41"/>
      <c r="I471" s="10"/>
    </row>
    <row r="472" customFormat="false" ht="18" hidden="false" customHeight="true" outlineLevel="0" collapsed="false">
      <c r="B472" s="42"/>
      <c r="C472" s="13"/>
      <c r="D472" s="14"/>
      <c r="E472" s="17"/>
      <c r="F472" s="44" t="str">
        <f aca="false">IF(OR(D472="",E472=""),"",D472*E472)</f>
        <v/>
      </c>
      <c r="G472" s="13"/>
      <c r="H472" s="43"/>
      <c r="I472" s="13"/>
    </row>
    <row r="473" customFormat="false" ht="18" hidden="false" customHeight="true" outlineLevel="0" collapsed="false">
      <c r="B473" s="40"/>
      <c r="C473" s="10"/>
      <c r="D473" s="11"/>
      <c r="E473" s="18"/>
      <c r="F473" s="35" t="str">
        <f aca="false">IF(OR(D473="",E473=""),"",D473*E473)</f>
        <v/>
      </c>
      <c r="G473" s="10"/>
      <c r="H473" s="41"/>
      <c r="I473" s="10"/>
    </row>
    <row r="474" customFormat="false" ht="18" hidden="false" customHeight="true" outlineLevel="0" collapsed="false">
      <c r="B474" s="42"/>
      <c r="C474" s="13"/>
      <c r="D474" s="14"/>
      <c r="E474" s="17"/>
      <c r="F474" s="44" t="str">
        <f aca="false">IF(OR(D474="",E474=""),"",D474*E474)</f>
        <v/>
      </c>
      <c r="G474" s="13"/>
      <c r="H474" s="43"/>
      <c r="I474" s="13"/>
    </row>
    <row r="475" customFormat="false" ht="18" hidden="false" customHeight="true" outlineLevel="0" collapsed="false">
      <c r="B475" s="40"/>
      <c r="C475" s="10"/>
      <c r="D475" s="11"/>
      <c r="E475" s="18"/>
      <c r="F475" s="35" t="str">
        <f aca="false">IF(OR(D475="",E475=""),"",D475*E475)</f>
        <v/>
      </c>
      <c r="G475" s="10"/>
      <c r="H475" s="41"/>
      <c r="I475" s="10"/>
    </row>
    <row r="476" customFormat="false" ht="18" hidden="false" customHeight="true" outlineLevel="0" collapsed="false">
      <c r="B476" s="42"/>
      <c r="C476" s="13"/>
      <c r="D476" s="14"/>
      <c r="E476" s="17"/>
      <c r="F476" s="44" t="str">
        <f aca="false">IF(OR(D476="",E476=""),"",D476*E476)</f>
        <v/>
      </c>
      <c r="G476" s="13"/>
      <c r="H476" s="43"/>
      <c r="I476" s="13"/>
    </row>
    <row r="477" customFormat="false" ht="18" hidden="false" customHeight="true" outlineLevel="0" collapsed="false">
      <c r="B477" s="40"/>
      <c r="C477" s="10"/>
      <c r="D477" s="11"/>
      <c r="E477" s="18"/>
      <c r="F477" s="35" t="str">
        <f aca="false">IF(OR(D477="",E477=""),"",D477*E477)</f>
        <v/>
      </c>
      <c r="G477" s="10"/>
      <c r="H477" s="41"/>
      <c r="I477" s="10"/>
    </row>
    <row r="478" customFormat="false" ht="18" hidden="false" customHeight="true" outlineLevel="0" collapsed="false">
      <c r="B478" s="42"/>
      <c r="C478" s="13"/>
      <c r="D478" s="14"/>
      <c r="E478" s="17"/>
      <c r="F478" s="44" t="str">
        <f aca="false">IF(OR(D478="",E478=""),"",D478*E478)</f>
        <v/>
      </c>
      <c r="G478" s="13"/>
      <c r="H478" s="43"/>
      <c r="I478" s="13"/>
    </row>
    <row r="479" customFormat="false" ht="18" hidden="false" customHeight="true" outlineLevel="0" collapsed="false">
      <c r="B479" s="40"/>
      <c r="C479" s="10"/>
      <c r="D479" s="11"/>
      <c r="E479" s="18"/>
      <c r="F479" s="35" t="str">
        <f aca="false">IF(OR(D479="",E479=""),"",D479*E479)</f>
        <v/>
      </c>
      <c r="G479" s="10"/>
      <c r="H479" s="41"/>
      <c r="I479" s="10"/>
    </row>
    <row r="480" customFormat="false" ht="18" hidden="false" customHeight="true" outlineLevel="0" collapsed="false">
      <c r="B480" s="42"/>
      <c r="C480" s="13"/>
      <c r="D480" s="14"/>
      <c r="E480" s="17"/>
      <c r="F480" s="44" t="str">
        <f aca="false">IF(OR(D480="",E480=""),"",D480*E480)</f>
        <v/>
      </c>
      <c r="G480" s="13"/>
      <c r="H480" s="43"/>
      <c r="I480" s="13"/>
    </row>
    <row r="481" customFormat="false" ht="18" hidden="false" customHeight="true" outlineLevel="0" collapsed="false">
      <c r="B481" s="40"/>
      <c r="C481" s="10"/>
      <c r="D481" s="11"/>
      <c r="E481" s="18"/>
      <c r="F481" s="35" t="str">
        <f aca="false">IF(OR(D481="",E481=""),"",D481*E481)</f>
        <v/>
      </c>
      <c r="G481" s="10"/>
      <c r="H481" s="41"/>
      <c r="I481" s="10"/>
    </row>
    <row r="482" customFormat="false" ht="18" hidden="false" customHeight="true" outlineLevel="0" collapsed="false">
      <c r="B482" s="42"/>
      <c r="C482" s="13"/>
      <c r="D482" s="14"/>
      <c r="E482" s="17"/>
      <c r="F482" s="44" t="str">
        <f aca="false">IF(OR(D482="",E482=""),"",D482*E482)</f>
        <v/>
      </c>
      <c r="G482" s="13"/>
      <c r="H482" s="43"/>
      <c r="I482" s="13"/>
    </row>
    <row r="483" customFormat="false" ht="18" hidden="false" customHeight="true" outlineLevel="0" collapsed="false">
      <c r="B483" s="40"/>
      <c r="C483" s="10"/>
      <c r="D483" s="11"/>
      <c r="E483" s="18"/>
      <c r="F483" s="35" t="str">
        <f aca="false">IF(OR(D483="",E483=""),"",D483*E483)</f>
        <v/>
      </c>
      <c r="G483" s="10"/>
      <c r="H483" s="41"/>
      <c r="I483" s="10"/>
    </row>
    <row r="484" customFormat="false" ht="18" hidden="false" customHeight="true" outlineLevel="0" collapsed="false">
      <c r="B484" s="42"/>
      <c r="C484" s="13"/>
      <c r="D484" s="14"/>
      <c r="E484" s="17"/>
      <c r="F484" s="44" t="str">
        <f aca="false">IF(OR(D484="",E484=""),"",D484*E484)</f>
        <v/>
      </c>
      <c r="G484" s="13"/>
      <c r="H484" s="43"/>
      <c r="I484" s="13"/>
    </row>
    <row r="485" customFormat="false" ht="18" hidden="false" customHeight="true" outlineLevel="0" collapsed="false">
      <c r="B485" s="40"/>
      <c r="C485" s="10"/>
      <c r="D485" s="11"/>
      <c r="E485" s="18"/>
      <c r="F485" s="35" t="str">
        <f aca="false">IF(OR(D485="",E485=""),"",D485*E485)</f>
        <v/>
      </c>
      <c r="G485" s="10"/>
      <c r="H485" s="41"/>
      <c r="I485" s="10"/>
    </row>
    <row r="486" customFormat="false" ht="18" hidden="false" customHeight="true" outlineLevel="0" collapsed="false">
      <c r="B486" s="42"/>
      <c r="C486" s="13"/>
      <c r="D486" s="14"/>
      <c r="E486" s="17"/>
      <c r="F486" s="44" t="str">
        <f aca="false">IF(OR(D486="",E486=""),"",D486*E486)</f>
        <v/>
      </c>
      <c r="G486" s="13"/>
      <c r="H486" s="43"/>
      <c r="I486" s="13"/>
    </row>
    <row r="487" customFormat="false" ht="18" hidden="false" customHeight="true" outlineLevel="0" collapsed="false">
      <c r="B487" s="40"/>
      <c r="C487" s="10"/>
      <c r="D487" s="11"/>
      <c r="E487" s="18"/>
      <c r="F487" s="35" t="str">
        <f aca="false">IF(OR(D487="",E487=""),"",D487*E487)</f>
        <v/>
      </c>
      <c r="G487" s="10"/>
      <c r="H487" s="41"/>
      <c r="I487" s="10"/>
    </row>
    <row r="488" customFormat="false" ht="18" hidden="false" customHeight="true" outlineLevel="0" collapsed="false">
      <c r="B488" s="42"/>
      <c r="C488" s="13"/>
      <c r="D488" s="14"/>
      <c r="E488" s="17"/>
      <c r="F488" s="44" t="str">
        <f aca="false">IF(OR(D488="",E488=""),"",D488*E488)</f>
        <v/>
      </c>
      <c r="G488" s="13"/>
      <c r="H488" s="43"/>
      <c r="I488" s="13"/>
    </row>
    <row r="489" customFormat="false" ht="18" hidden="false" customHeight="true" outlineLevel="0" collapsed="false">
      <c r="B489" s="40"/>
      <c r="C489" s="10"/>
      <c r="D489" s="11"/>
      <c r="E489" s="18"/>
      <c r="F489" s="35" t="str">
        <f aca="false">IF(OR(D489="",E489=""),"",D489*E489)</f>
        <v/>
      </c>
      <c r="G489" s="10"/>
      <c r="H489" s="41"/>
      <c r="I489" s="10"/>
    </row>
    <row r="490" customFormat="false" ht="18" hidden="false" customHeight="true" outlineLevel="0" collapsed="false">
      <c r="B490" s="42"/>
      <c r="C490" s="13"/>
      <c r="D490" s="14"/>
      <c r="E490" s="17"/>
      <c r="F490" s="44" t="str">
        <f aca="false">IF(OR(D490="",E490=""),"",D490*E490)</f>
        <v/>
      </c>
      <c r="G490" s="13"/>
      <c r="H490" s="43"/>
      <c r="I490" s="13"/>
    </row>
    <row r="491" customFormat="false" ht="18" hidden="false" customHeight="true" outlineLevel="0" collapsed="false">
      <c r="B491" s="40"/>
      <c r="C491" s="10"/>
      <c r="D491" s="11"/>
      <c r="E491" s="18"/>
      <c r="F491" s="35" t="str">
        <f aca="false">IF(OR(D491="",E491=""),"",D491*E491)</f>
        <v/>
      </c>
      <c r="G491" s="10"/>
      <c r="H491" s="41"/>
      <c r="I491" s="10"/>
    </row>
    <row r="492" customFormat="false" ht="18" hidden="false" customHeight="true" outlineLevel="0" collapsed="false">
      <c r="B492" s="42"/>
      <c r="C492" s="13"/>
      <c r="D492" s="14"/>
      <c r="E492" s="17"/>
      <c r="F492" s="44" t="str">
        <f aca="false">IF(OR(D492="",E492=""),"",D492*E492)</f>
        <v/>
      </c>
      <c r="G492" s="13"/>
      <c r="H492" s="43"/>
      <c r="I492" s="13"/>
    </row>
    <row r="493" customFormat="false" ht="18" hidden="false" customHeight="true" outlineLevel="0" collapsed="false">
      <c r="B493" s="40"/>
      <c r="C493" s="10"/>
      <c r="D493" s="11"/>
      <c r="E493" s="18"/>
      <c r="F493" s="35" t="str">
        <f aca="false">IF(OR(D493="",E493=""),"",D493*E493)</f>
        <v/>
      </c>
      <c r="G493" s="10"/>
      <c r="H493" s="41"/>
      <c r="I493" s="10"/>
    </row>
    <row r="494" customFormat="false" ht="18" hidden="false" customHeight="true" outlineLevel="0" collapsed="false">
      <c r="B494" s="42"/>
      <c r="C494" s="13"/>
      <c r="D494" s="14"/>
      <c r="E494" s="17"/>
      <c r="F494" s="44" t="str">
        <f aca="false">IF(OR(D494="",E494=""),"",D494*E494)</f>
        <v/>
      </c>
      <c r="G494" s="13"/>
      <c r="H494" s="43"/>
      <c r="I494" s="13"/>
    </row>
    <row r="495" customFormat="false" ht="18" hidden="false" customHeight="true" outlineLevel="0" collapsed="false">
      <c r="B495" s="40"/>
      <c r="C495" s="10"/>
      <c r="D495" s="11"/>
      <c r="E495" s="18"/>
      <c r="F495" s="35" t="str">
        <f aca="false">IF(OR(D495="",E495=""),"",D495*E495)</f>
        <v/>
      </c>
      <c r="G495" s="10"/>
      <c r="H495" s="41"/>
      <c r="I495" s="10"/>
    </row>
    <row r="496" customFormat="false" ht="18" hidden="false" customHeight="true" outlineLevel="0" collapsed="false">
      <c r="B496" s="42"/>
      <c r="C496" s="13"/>
      <c r="D496" s="14"/>
      <c r="E496" s="17"/>
      <c r="F496" s="44" t="str">
        <f aca="false">IF(OR(D496="",E496=""),"",D496*E496)</f>
        <v/>
      </c>
      <c r="G496" s="13"/>
      <c r="H496" s="43"/>
      <c r="I496" s="13"/>
    </row>
    <row r="497" customFormat="false" ht="18" hidden="false" customHeight="true" outlineLevel="0" collapsed="false">
      <c r="B497" s="40"/>
      <c r="C497" s="10"/>
      <c r="D497" s="11"/>
      <c r="E497" s="18"/>
      <c r="F497" s="35" t="str">
        <f aca="false">IF(OR(D497="",E497=""),"",D497*E497)</f>
        <v/>
      </c>
      <c r="G497" s="10"/>
      <c r="H497" s="41"/>
      <c r="I497" s="10"/>
    </row>
    <row r="498" customFormat="false" ht="18" hidden="false" customHeight="true" outlineLevel="0" collapsed="false">
      <c r="B498" s="42"/>
      <c r="C498" s="13"/>
      <c r="D498" s="14"/>
      <c r="E498" s="17"/>
      <c r="F498" s="44" t="str">
        <f aca="false">IF(OR(D498="",E498=""),"",D498*E498)</f>
        <v/>
      </c>
      <c r="G498" s="13"/>
      <c r="H498" s="43"/>
      <c r="I498" s="13"/>
    </row>
    <row r="499" customFormat="false" ht="18" hidden="false" customHeight="true" outlineLevel="0" collapsed="false">
      <c r="B499" s="40"/>
      <c r="C499" s="10"/>
      <c r="D499" s="11"/>
      <c r="E499" s="18"/>
      <c r="F499" s="35" t="str">
        <f aca="false">IF(OR(D499="",E499=""),"",D499*E499)</f>
        <v/>
      </c>
      <c r="G499" s="10"/>
      <c r="H499" s="41"/>
      <c r="I499" s="10"/>
    </row>
    <row r="500" customFormat="false" ht="18" hidden="false" customHeight="true" outlineLevel="0" collapsed="false">
      <c r="B500" s="42"/>
      <c r="C500" s="13"/>
      <c r="D500" s="14"/>
      <c r="E500" s="17"/>
      <c r="F500" s="44" t="str">
        <f aca="false">IF(OR(D500="",E500=""),"",D500*E500)</f>
        <v/>
      </c>
      <c r="G500" s="13"/>
      <c r="H500" s="43"/>
      <c r="I500" s="13"/>
    </row>
    <row r="501" customFormat="false" ht="18" hidden="false" customHeight="true" outlineLevel="0" collapsed="false">
      <c r="B501" s="40"/>
      <c r="C501" s="10"/>
      <c r="D501" s="11"/>
      <c r="E501" s="18"/>
      <c r="F501" s="35" t="str">
        <f aca="false">IF(OR(D501="",E501=""),"",D501*E501)</f>
        <v/>
      </c>
      <c r="G501" s="10"/>
      <c r="H501" s="41"/>
      <c r="I501" s="10"/>
    </row>
    <row r="502" customFormat="false" ht="18" hidden="false" customHeight="true" outlineLevel="0" collapsed="false">
      <c r="B502" s="42"/>
      <c r="C502" s="13"/>
      <c r="D502" s="14"/>
      <c r="E502" s="17"/>
      <c r="F502" s="44" t="str">
        <f aca="false">IF(OR(D502="",E502=""),"",D502*E502)</f>
        <v/>
      </c>
      <c r="G502" s="13"/>
      <c r="H502" s="43"/>
      <c r="I502" s="13"/>
    </row>
    <row r="504" customFormat="false" ht="24" hidden="false" customHeight="true" outlineLevel="0" collapsed="false">
      <c r="B504" s="52" t="s">
        <v>70</v>
      </c>
      <c r="C504" s="52"/>
      <c r="D504" s="52"/>
      <c r="E504" s="52"/>
      <c r="F504" s="53" t="n">
        <f aca="false">SUM(F3:F502)</f>
        <v>0</v>
      </c>
      <c r="G504" s="53"/>
      <c r="H504" s="53"/>
      <c r="I504" s="53"/>
    </row>
  </sheetData>
  <mergeCells count="3">
    <mergeCell ref="B1:I1"/>
    <mergeCell ref="B504:E504"/>
    <mergeCell ref="F504:I504"/>
  </mergeCells>
  <dataValidations count="1">
    <dataValidation allowBlank="false" errorStyle="stop" operator="between" showDropDown="false" showErrorMessage="false" showInputMessage="false" sqref="C3:C502" type="list">
      <formula1>"EarPods,Button Phone,Memory Card,Charger,Tripod Stand,Selfie Stick,Cables,Ringlight,Speakers,Wireless Mic,Mouse,Powerbanks,Smartwatch"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1:G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5"/>
    <col collapsed="false" customWidth="true" hidden="false" outlineLevel="0" max="3" min="3" style="1" width="28"/>
    <col collapsed="false" customWidth="true" hidden="false" outlineLevel="0" max="4" min="4" style="1" width="22"/>
    <col collapsed="false" customWidth="true" hidden="false" outlineLevel="0" max="6" min="5" style="1" width="16"/>
    <col collapsed="false" customWidth="true" hidden="false" outlineLevel="0" max="7" min="7" style="1" width="24"/>
    <col collapsed="false" customWidth="true" hidden="false" outlineLevel="0" max="8" min="8" style="1" width="4"/>
  </cols>
  <sheetData>
    <row r="1" customFormat="false" ht="31.5" hidden="false" customHeight="true" outlineLevel="0" collapsed="false">
      <c r="B1" s="54" t="s">
        <v>71</v>
      </c>
      <c r="C1" s="54"/>
      <c r="D1" s="54"/>
      <c r="E1" s="54"/>
      <c r="F1" s="54"/>
      <c r="G1" s="54"/>
    </row>
    <row r="2" customFormat="false" ht="30" hidden="false" customHeight="true" outlineLevel="0" collapsed="false">
      <c r="B2" s="55" t="s">
        <v>47</v>
      </c>
      <c r="C2" s="55" t="s">
        <v>72</v>
      </c>
      <c r="D2" s="55" t="s">
        <v>73</v>
      </c>
      <c r="E2" s="55" t="s">
        <v>74</v>
      </c>
      <c r="F2" s="55" t="s">
        <v>75</v>
      </c>
      <c r="G2" s="55" t="s">
        <v>69</v>
      </c>
    </row>
    <row r="3" customFormat="false" ht="18" hidden="false" customHeight="true" outlineLevel="0" collapsed="false">
      <c r="B3" s="40"/>
      <c r="C3" s="10"/>
      <c r="D3" s="41"/>
      <c r="E3" s="18"/>
      <c r="F3" s="41"/>
      <c r="G3" s="10"/>
    </row>
    <row r="4" customFormat="false" ht="18" hidden="false" customHeight="true" outlineLevel="0" collapsed="false">
      <c r="B4" s="42"/>
      <c r="C4" s="13"/>
      <c r="D4" s="43"/>
      <c r="E4" s="17"/>
      <c r="F4" s="43"/>
      <c r="G4" s="13"/>
    </row>
    <row r="5" customFormat="false" ht="18" hidden="false" customHeight="true" outlineLevel="0" collapsed="false">
      <c r="B5" s="40"/>
      <c r="C5" s="10"/>
      <c r="D5" s="41"/>
      <c r="E5" s="18"/>
      <c r="F5" s="41"/>
      <c r="G5" s="10"/>
    </row>
    <row r="6" customFormat="false" ht="18" hidden="false" customHeight="true" outlineLevel="0" collapsed="false">
      <c r="B6" s="42"/>
      <c r="C6" s="13"/>
      <c r="D6" s="43"/>
      <c r="E6" s="17"/>
      <c r="F6" s="43"/>
      <c r="G6" s="13"/>
    </row>
    <row r="7" customFormat="false" ht="18" hidden="false" customHeight="true" outlineLevel="0" collapsed="false">
      <c r="B7" s="40"/>
      <c r="C7" s="10"/>
      <c r="D7" s="41"/>
      <c r="E7" s="18"/>
      <c r="F7" s="41"/>
      <c r="G7" s="10"/>
    </row>
    <row r="8" customFormat="false" ht="18" hidden="false" customHeight="true" outlineLevel="0" collapsed="false">
      <c r="B8" s="42"/>
      <c r="C8" s="13"/>
      <c r="D8" s="43"/>
      <c r="E8" s="17"/>
      <c r="F8" s="43"/>
      <c r="G8" s="13"/>
    </row>
    <row r="9" customFormat="false" ht="18" hidden="false" customHeight="true" outlineLevel="0" collapsed="false">
      <c r="B9" s="40"/>
      <c r="C9" s="10"/>
      <c r="D9" s="41"/>
      <c r="E9" s="18"/>
      <c r="F9" s="41"/>
      <c r="G9" s="10"/>
    </row>
    <row r="10" customFormat="false" ht="18" hidden="false" customHeight="true" outlineLevel="0" collapsed="false">
      <c r="B10" s="42"/>
      <c r="C10" s="13"/>
      <c r="D10" s="43"/>
      <c r="E10" s="17"/>
      <c r="F10" s="43"/>
      <c r="G10" s="13"/>
    </row>
    <row r="11" customFormat="false" ht="18" hidden="false" customHeight="true" outlineLevel="0" collapsed="false">
      <c r="B11" s="40"/>
      <c r="C11" s="10"/>
      <c r="D11" s="41"/>
      <c r="E11" s="18"/>
      <c r="F11" s="41"/>
      <c r="G11" s="10"/>
    </row>
    <row r="12" customFormat="false" ht="18" hidden="false" customHeight="true" outlineLevel="0" collapsed="false">
      <c r="B12" s="42"/>
      <c r="C12" s="13"/>
      <c r="D12" s="43"/>
      <c r="E12" s="17"/>
      <c r="F12" s="43"/>
      <c r="G12" s="13"/>
    </row>
    <row r="13" customFormat="false" ht="18" hidden="false" customHeight="true" outlineLevel="0" collapsed="false">
      <c r="B13" s="40"/>
      <c r="C13" s="10"/>
      <c r="D13" s="41"/>
      <c r="E13" s="18"/>
      <c r="F13" s="41"/>
      <c r="G13" s="10"/>
    </row>
    <row r="14" customFormat="false" ht="18" hidden="false" customHeight="true" outlineLevel="0" collapsed="false">
      <c r="B14" s="42"/>
      <c r="C14" s="13"/>
      <c r="D14" s="43"/>
      <c r="E14" s="17"/>
      <c r="F14" s="43"/>
      <c r="G14" s="13"/>
    </row>
    <row r="15" customFormat="false" ht="18" hidden="false" customHeight="true" outlineLevel="0" collapsed="false">
      <c r="B15" s="40"/>
      <c r="C15" s="10"/>
      <c r="D15" s="41"/>
      <c r="E15" s="18"/>
      <c r="F15" s="41"/>
      <c r="G15" s="10"/>
    </row>
    <row r="16" customFormat="false" ht="18" hidden="false" customHeight="true" outlineLevel="0" collapsed="false">
      <c r="B16" s="42"/>
      <c r="C16" s="13"/>
      <c r="D16" s="43"/>
      <c r="E16" s="17"/>
      <c r="F16" s="43"/>
      <c r="G16" s="13"/>
    </row>
    <row r="17" customFormat="false" ht="18" hidden="false" customHeight="true" outlineLevel="0" collapsed="false">
      <c r="B17" s="40"/>
      <c r="C17" s="10"/>
      <c r="D17" s="41"/>
      <c r="E17" s="18"/>
      <c r="F17" s="41"/>
      <c r="G17" s="10"/>
    </row>
    <row r="18" customFormat="false" ht="18" hidden="false" customHeight="true" outlineLevel="0" collapsed="false">
      <c r="B18" s="42"/>
      <c r="C18" s="13"/>
      <c r="D18" s="43"/>
      <c r="E18" s="17"/>
      <c r="F18" s="43"/>
      <c r="G18" s="13"/>
    </row>
    <row r="19" customFormat="false" ht="18" hidden="false" customHeight="true" outlineLevel="0" collapsed="false">
      <c r="B19" s="40"/>
      <c r="C19" s="10"/>
      <c r="D19" s="41"/>
      <c r="E19" s="18"/>
      <c r="F19" s="41"/>
      <c r="G19" s="10"/>
    </row>
    <row r="20" customFormat="false" ht="18" hidden="false" customHeight="true" outlineLevel="0" collapsed="false">
      <c r="B20" s="42"/>
      <c r="C20" s="13"/>
      <c r="D20" s="43"/>
      <c r="E20" s="17"/>
      <c r="F20" s="43"/>
      <c r="G20" s="13"/>
    </row>
    <row r="21" customFormat="false" ht="18" hidden="false" customHeight="true" outlineLevel="0" collapsed="false">
      <c r="B21" s="40"/>
      <c r="C21" s="10"/>
      <c r="D21" s="41"/>
      <c r="E21" s="18"/>
      <c r="F21" s="41"/>
      <c r="G21" s="10"/>
    </row>
    <row r="22" customFormat="false" ht="18" hidden="false" customHeight="true" outlineLevel="0" collapsed="false">
      <c r="B22" s="42"/>
      <c r="C22" s="13"/>
      <c r="D22" s="43"/>
      <c r="E22" s="17"/>
      <c r="F22" s="43"/>
      <c r="G22" s="13"/>
    </row>
    <row r="23" customFormat="false" ht="18" hidden="false" customHeight="true" outlineLevel="0" collapsed="false">
      <c r="B23" s="40"/>
      <c r="C23" s="10"/>
      <c r="D23" s="41"/>
      <c r="E23" s="18"/>
      <c r="F23" s="41"/>
      <c r="G23" s="10"/>
    </row>
    <row r="24" customFormat="false" ht="18" hidden="false" customHeight="true" outlineLevel="0" collapsed="false">
      <c r="B24" s="42"/>
      <c r="C24" s="13"/>
      <c r="D24" s="43"/>
      <c r="E24" s="17"/>
      <c r="F24" s="43"/>
      <c r="G24" s="13"/>
    </row>
    <row r="25" customFormat="false" ht="18" hidden="false" customHeight="true" outlineLevel="0" collapsed="false">
      <c r="B25" s="40"/>
      <c r="C25" s="10"/>
      <c r="D25" s="41"/>
      <c r="E25" s="18"/>
      <c r="F25" s="41"/>
      <c r="G25" s="10"/>
    </row>
    <row r="26" customFormat="false" ht="18" hidden="false" customHeight="true" outlineLevel="0" collapsed="false">
      <c r="B26" s="42"/>
      <c r="C26" s="13"/>
      <c r="D26" s="43"/>
      <c r="E26" s="17"/>
      <c r="F26" s="43"/>
      <c r="G26" s="13"/>
    </row>
    <row r="27" customFormat="false" ht="18" hidden="false" customHeight="true" outlineLevel="0" collapsed="false">
      <c r="B27" s="40"/>
      <c r="C27" s="10"/>
      <c r="D27" s="41"/>
      <c r="E27" s="18"/>
      <c r="F27" s="41"/>
      <c r="G27" s="10"/>
    </row>
    <row r="28" customFormat="false" ht="18" hidden="false" customHeight="true" outlineLevel="0" collapsed="false">
      <c r="B28" s="42"/>
      <c r="C28" s="13"/>
      <c r="D28" s="43"/>
      <c r="E28" s="17"/>
      <c r="F28" s="43"/>
      <c r="G28" s="13"/>
    </row>
    <row r="29" customFormat="false" ht="18" hidden="false" customHeight="true" outlineLevel="0" collapsed="false">
      <c r="B29" s="40"/>
      <c r="C29" s="10"/>
      <c r="D29" s="41"/>
      <c r="E29" s="18"/>
      <c r="F29" s="41"/>
      <c r="G29" s="10"/>
    </row>
    <row r="30" customFormat="false" ht="18" hidden="false" customHeight="true" outlineLevel="0" collapsed="false">
      <c r="B30" s="42"/>
      <c r="C30" s="13"/>
      <c r="D30" s="43"/>
      <c r="E30" s="17"/>
      <c r="F30" s="43"/>
      <c r="G30" s="13"/>
    </row>
    <row r="31" customFormat="false" ht="18" hidden="false" customHeight="true" outlineLevel="0" collapsed="false">
      <c r="B31" s="40"/>
      <c r="C31" s="10"/>
      <c r="D31" s="41"/>
      <c r="E31" s="18"/>
      <c r="F31" s="41"/>
      <c r="G31" s="10"/>
    </row>
    <row r="32" customFormat="false" ht="18" hidden="false" customHeight="true" outlineLevel="0" collapsed="false">
      <c r="B32" s="42"/>
      <c r="C32" s="13"/>
      <c r="D32" s="43"/>
      <c r="E32" s="17"/>
      <c r="F32" s="43"/>
      <c r="G32" s="13"/>
    </row>
    <row r="33" customFormat="false" ht="18" hidden="false" customHeight="true" outlineLevel="0" collapsed="false">
      <c r="B33" s="40"/>
      <c r="C33" s="10"/>
      <c r="D33" s="41"/>
      <c r="E33" s="18"/>
      <c r="F33" s="41"/>
      <c r="G33" s="10"/>
    </row>
    <row r="34" customFormat="false" ht="18" hidden="false" customHeight="true" outlineLevel="0" collapsed="false">
      <c r="B34" s="42"/>
      <c r="C34" s="13"/>
      <c r="D34" s="43"/>
      <c r="E34" s="17"/>
      <c r="F34" s="43"/>
      <c r="G34" s="13"/>
    </row>
    <row r="35" customFormat="false" ht="18" hidden="false" customHeight="true" outlineLevel="0" collapsed="false">
      <c r="B35" s="40"/>
      <c r="C35" s="10"/>
      <c r="D35" s="41"/>
      <c r="E35" s="18"/>
      <c r="F35" s="41"/>
      <c r="G35" s="10"/>
    </row>
    <row r="36" customFormat="false" ht="18" hidden="false" customHeight="true" outlineLevel="0" collapsed="false">
      <c r="B36" s="42"/>
      <c r="C36" s="13"/>
      <c r="D36" s="43"/>
      <c r="E36" s="17"/>
      <c r="F36" s="43"/>
      <c r="G36" s="13"/>
    </row>
    <row r="37" customFormat="false" ht="18" hidden="false" customHeight="true" outlineLevel="0" collapsed="false">
      <c r="B37" s="40"/>
      <c r="C37" s="10"/>
      <c r="D37" s="41"/>
      <c r="E37" s="18"/>
      <c r="F37" s="41"/>
      <c r="G37" s="10"/>
    </row>
    <row r="38" customFormat="false" ht="18" hidden="false" customHeight="true" outlineLevel="0" collapsed="false">
      <c r="B38" s="42"/>
      <c r="C38" s="13"/>
      <c r="D38" s="43"/>
      <c r="E38" s="17"/>
      <c r="F38" s="43"/>
      <c r="G38" s="13"/>
    </row>
    <row r="39" customFormat="false" ht="18" hidden="false" customHeight="true" outlineLevel="0" collapsed="false">
      <c r="B39" s="40"/>
      <c r="C39" s="10"/>
      <c r="D39" s="41"/>
      <c r="E39" s="18"/>
      <c r="F39" s="41"/>
      <c r="G39" s="10"/>
    </row>
    <row r="40" customFormat="false" ht="18" hidden="false" customHeight="true" outlineLevel="0" collapsed="false">
      <c r="B40" s="42"/>
      <c r="C40" s="13"/>
      <c r="D40" s="43"/>
      <c r="E40" s="17"/>
      <c r="F40" s="43"/>
      <c r="G40" s="13"/>
    </row>
    <row r="41" customFormat="false" ht="18" hidden="false" customHeight="true" outlineLevel="0" collapsed="false">
      <c r="B41" s="40"/>
      <c r="C41" s="10"/>
      <c r="D41" s="41"/>
      <c r="E41" s="18"/>
      <c r="F41" s="41"/>
      <c r="G41" s="10"/>
    </row>
    <row r="42" customFormat="false" ht="18" hidden="false" customHeight="true" outlineLevel="0" collapsed="false">
      <c r="B42" s="42"/>
      <c r="C42" s="13"/>
      <c r="D42" s="43"/>
      <c r="E42" s="17"/>
      <c r="F42" s="43"/>
      <c r="G42" s="13"/>
    </row>
    <row r="43" customFormat="false" ht="18" hidden="false" customHeight="true" outlineLevel="0" collapsed="false">
      <c r="B43" s="40"/>
      <c r="C43" s="10"/>
      <c r="D43" s="41"/>
      <c r="E43" s="18"/>
      <c r="F43" s="41"/>
      <c r="G43" s="10"/>
    </row>
    <row r="44" customFormat="false" ht="18" hidden="false" customHeight="true" outlineLevel="0" collapsed="false">
      <c r="B44" s="42"/>
      <c r="C44" s="13"/>
      <c r="D44" s="43"/>
      <c r="E44" s="17"/>
      <c r="F44" s="43"/>
      <c r="G44" s="13"/>
    </row>
    <row r="45" customFormat="false" ht="18" hidden="false" customHeight="true" outlineLevel="0" collapsed="false">
      <c r="B45" s="40"/>
      <c r="C45" s="10"/>
      <c r="D45" s="41"/>
      <c r="E45" s="18"/>
      <c r="F45" s="41"/>
      <c r="G45" s="10"/>
    </row>
    <row r="46" customFormat="false" ht="18" hidden="false" customHeight="true" outlineLevel="0" collapsed="false">
      <c r="B46" s="42"/>
      <c r="C46" s="13"/>
      <c r="D46" s="43"/>
      <c r="E46" s="17"/>
      <c r="F46" s="43"/>
      <c r="G46" s="13"/>
    </row>
    <row r="47" customFormat="false" ht="18" hidden="false" customHeight="true" outlineLevel="0" collapsed="false">
      <c r="B47" s="40"/>
      <c r="C47" s="10"/>
      <c r="D47" s="41"/>
      <c r="E47" s="18"/>
      <c r="F47" s="41"/>
      <c r="G47" s="10"/>
    </row>
    <row r="48" customFormat="false" ht="18" hidden="false" customHeight="true" outlineLevel="0" collapsed="false">
      <c r="B48" s="42"/>
      <c r="C48" s="13"/>
      <c r="D48" s="43"/>
      <c r="E48" s="17"/>
      <c r="F48" s="43"/>
      <c r="G48" s="13"/>
    </row>
    <row r="49" customFormat="false" ht="18" hidden="false" customHeight="true" outlineLevel="0" collapsed="false">
      <c r="B49" s="40"/>
      <c r="C49" s="10"/>
      <c r="D49" s="41"/>
      <c r="E49" s="18"/>
      <c r="F49" s="41"/>
      <c r="G49" s="10"/>
    </row>
    <row r="50" customFormat="false" ht="18" hidden="false" customHeight="true" outlineLevel="0" collapsed="false">
      <c r="B50" s="42"/>
      <c r="C50" s="13"/>
      <c r="D50" s="43"/>
      <c r="E50" s="17"/>
      <c r="F50" s="43"/>
      <c r="G50" s="13"/>
    </row>
    <row r="51" customFormat="false" ht="18" hidden="false" customHeight="true" outlineLevel="0" collapsed="false">
      <c r="B51" s="40"/>
      <c r="C51" s="10"/>
      <c r="D51" s="41"/>
      <c r="E51" s="18"/>
      <c r="F51" s="41"/>
      <c r="G51" s="10"/>
    </row>
    <row r="52" customFormat="false" ht="18" hidden="false" customHeight="true" outlineLevel="0" collapsed="false">
      <c r="B52" s="42"/>
      <c r="C52" s="13"/>
      <c r="D52" s="43"/>
      <c r="E52" s="17"/>
      <c r="F52" s="43"/>
      <c r="G52" s="13"/>
    </row>
    <row r="53" customFormat="false" ht="18" hidden="false" customHeight="true" outlineLevel="0" collapsed="false">
      <c r="B53" s="40"/>
      <c r="C53" s="10"/>
      <c r="D53" s="41"/>
      <c r="E53" s="18"/>
      <c r="F53" s="41"/>
      <c r="G53" s="10"/>
    </row>
    <row r="54" customFormat="false" ht="18" hidden="false" customHeight="true" outlineLevel="0" collapsed="false">
      <c r="B54" s="42"/>
      <c r="C54" s="13"/>
      <c r="D54" s="43"/>
      <c r="E54" s="17"/>
      <c r="F54" s="43"/>
      <c r="G54" s="13"/>
    </row>
    <row r="55" customFormat="false" ht="18" hidden="false" customHeight="true" outlineLevel="0" collapsed="false">
      <c r="B55" s="40"/>
      <c r="C55" s="10"/>
      <c r="D55" s="41"/>
      <c r="E55" s="18"/>
      <c r="F55" s="41"/>
      <c r="G55" s="10"/>
    </row>
    <row r="56" customFormat="false" ht="18" hidden="false" customHeight="true" outlineLevel="0" collapsed="false">
      <c r="B56" s="42"/>
      <c r="C56" s="13"/>
      <c r="D56" s="43"/>
      <c r="E56" s="17"/>
      <c r="F56" s="43"/>
      <c r="G56" s="13"/>
    </row>
    <row r="57" customFormat="false" ht="18" hidden="false" customHeight="true" outlineLevel="0" collapsed="false">
      <c r="B57" s="40"/>
      <c r="C57" s="10"/>
      <c r="D57" s="41"/>
      <c r="E57" s="18"/>
      <c r="F57" s="41"/>
      <c r="G57" s="10"/>
    </row>
    <row r="58" customFormat="false" ht="18" hidden="false" customHeight="true" outlineLevel="0" collapsed="false">
      <c r="B58" s="42"/>
      <c r="C58" s="13"/>
      <c r="D58" s="43"/>
      <c r="E58" s="17"/>
      <c r="F58" s="43"/>
      <c r="G58" s="13"/>
    </row>
    <row r="59" customFormat="false" ht="18" hidden="false" customHeight="true" outlineLevel="0" collapsed="false">
      <c r="B59" s="40"/>
      <c r="C59" s="10"/>
      <c r="D59" s="41"/>
      <c r="E59" s="18"/>
      <c r="F59" s="41"/>
      <c r="G59" s="10"/>
    </row>
    <row r="60" customFormat="false" ht="18" hidden="false" customHeight="true" outlineLevel="0" collapsed="false">
      <c r="B60" s="42"/>
      <c r="C60" s="13"/>
      <c r="D60" s="43"/>
      <c r="E60" s="17"/>
      <c r="F60" s="43"/>
      <c r="G60" s="13"/>
    </row>
    <row r="61" customFormat="false" ht="18" hidden="false" customHeight="true" outlineLevel="0" collapsed="false">
      <c r="B61" s="40"/>
      <c r="C61" s="10"/>
      <c r="D61" s="41"/>
      <c r="E61" s="18"/>
      <c r="F61" s="41"/>
      <c r="G61" s="10"/>
    </row>
    <row r="62" customFormat="false" ht="18" hidden="false" customHeight="true" outlineLevel="0" collapsed="false">
      <c r="B62" s="42"/>
      <c r="C62" s="13"/>
      <c r="D62" s="43"/>
      <c r="E62" s="17"/>
      <c r="F62" s="43"/>
      <c r="G62" s="13"/>
    </row>
    <row r="63" customFormat="false" ht="18" hidden="false" customHeight="true" outlineLevel="0" collapsed="false">
      <c r="B63" s="40"/>
      <c r="C63" s="10"/>
      <c r="D63" s="41"/>
      <c r="E63" s="18"/>
      <c r="F63" s="41"/>
      <c r="G63" s="10"/>
    </row>
    <row r="64" customFormat="false" ht="18" hidden="false" customHeight="true" outlineLevel="0" collapsed="false">
      <c r="B64" s="42"/>
      <c r="C64" s="13"/>
      <c r="D64" s="43"/>
      <c r="E64" s="17"/>
      <c r="F64" s="43"/>
      <c r="G64" s="13"/>
    </row>
    <row r="65" customFormat="false" ht="18" hidden="false" customHeight="true" outlineLevel="0" collapsed="false">
      <c r="B65" s="40"/>
      <c r="C65" s="10"/>
      <c r="D65" s="41"/>
      <c r="E65" s="18"/>
      <c r="F65" s="41"/>
      <c r="G65" s="10"/>
    </row>
    <row r="66" customFormat="false" ht="18" hidden="false" customHeight="true" outlineLevel="0" collapsed="false">
      <c r="B66" s="42"/>
      <c r="C66" s="13"/>
      <c r="D66" s="43"/>
      <c r="E66" s="17"/>
      <c r="F66" s="43"/>
      <c r="G66" s="13"/>
    </row>
    <row r="67" customFormat="false" ht="18" hidden="false" customHeight="true" outlineLevel="0" collapsed="false">
      <c r="B67" s="40"/>
      <c r="C67" s="10"/>
      <c r="D67" s="41"/>
      <c r="E67" s="18"/>
      <c r="F67" s="41"/>
      <c r="G67" s="10"/>
    </row>
    <row r="68" customFormat="false" ht="18" hidden="false" customHeight="true" outlineLevel="0" collapsed="false">
      <c r="B68" s="42"/>
      <c r="C68" s="13"/>
      <c r="D68" s="43"/>
      <c r="E68" s="17"/>
      <c r="F68" s="43"/>
      <c r="G68" s="13"/>
    </row>
    <row r="69" customFormat="false" ht="18" hidden="false" customHeight="true" outlineLevel="0" collapsed="false">
      <c r="B69" s="40"/>
      <c r="C69" s="10"/>
      <c r="D69" s="41"/>
      <c r="E69" s="18"/>
      <c r="F69" s="41"/>
      <c r="G69" s="10"/>
    </row>
    <row r="70" customFormat="false" ht="18" hidden="false" customHeight="true" outlineLevel="0" collapsed="false">
      <c r="B70" s="42"/>
      <c r="C70" s="13"/>
      <c r="D70" s="43"/>
      <c r="E70" s="17"/>
      <c r="F70" s="43"/>
      <c r="G70" s="13"/>
    </row>
    <row r="71" customFormat="false" ht="18" hidden="false" customHeight="true" outlineLevel="0" collapsed="false">
      <c r="B71" s="40"/>
      <c r="C71" s="10"/>
      <c r="D71" s="41"/>
      <c r="E71" s="18"/>
      <c r="F71" s="41"/>
      <c r="G71" s="10"/>
    </row>
    <row r="72" customFormat="false" ht="18" hidden="false" customHeight="true" outlineLevel="0" collapsed="false">
      <c r="B72" s="42"/>
      <c r="C72" s="13"/>
      <c r="D72" s="43"/>
      <c r="E72" s="17"/>
      <c r="F72" s="43"/>
      <c r="G72" s="13"/>
    </row>
    <row r="73" customFormat="false" ht="18" hidden="false" customHeight="true" outlineLevel="0" collapsed="false">
      <c r="B73" s="40"/>
      <c r="C73" s="10"/>
      <c r="D73" s="41"/>
      <c r="E73" s="18"/>
      <c r="F73" s="41"/>
      <c r="G73" s="10"/>
    </row>
    <row r="74" customFormat="false" ht="18" hidden="false" customHeight="true" outlineLevel="0" collapsed="false">
      <c r="B74" s="42"/>
      <c r="C74" s="13"/>
      <c r="D74" s="43"/>
      <c r="E74" s="17"/>
      <c r="F74" s="43"/>
      <c r="G74" s="13"/>
    </row>
    <row r="75" customFormat="false" ht="18" hidden="false" customHeight="true" outlineLevel="0" collapsed="false">
      <c r="B75" s="40"/>
      <c r="C75" s="10"/>
      <c r="D75" s="41"/>
      <c r="E75" s="18"/>
      <c r="F75" s="41"/>
      <c r="G75" s="10"/>
    </row>
    <row r="76" customFormat="false" ht="18" hidden="false" customHeight="true" outlineLevel="0" collapsed="false">
      <c r="B76" s="42"/>
      <c r="C76" s="13"/>
      <c r="D76" s="43"/>
      <c r="E76" s="17"/>
      <c r="F76" s="43"/>
      <c r="G76" s="13"/>
    </row>
    <row r="77" customFormat="false" ht="18" hidden="false" customHeight="true" outlineLevel="0" collapsed="false">
      <c r="B77" s="40"/>
      <c r="C77" s="10"/>
      <c r="D77" s="41"/>
      <c r="E77" s="18"/>
      <c r="F77" s="41"/>
      <c r="G77" s="10"/>
    </row>
    <row r="78" customFormat="false" ht="18" hidden="false" customHeight="true" outlineLevel="0" collapsed="false">
      <c r="B78" s="42"/>
      <c r="C78" s="13"/>
      <c r="D78" s="43"/>
      <c r="E78" s="17"/>
      <c r="F78" s="43"/>
      <c r="G78" s="13"/>
    </row>
    <row r="79" customFormat="false" ht="18" hidden="false" customHeight="true" outlineLevel="0" collapsed="false">
      <c r="B79" s="40"/>
      <c r="C79" s="10"/>
      <c r="D79" s="41"/>
      <c r="E79" s="18"/>
      <c r="F79" s="41"/>
      <c r="G79" s="10"/>
    </row>
    <row r="80" customFormat="false" ht="18" hidden="false" customHeight="true" outlineLevel="0" collapsed="false">
      <c r="B80" s="42"/>
      <c r="C80" s="13"/>
      <c r="D80" s="43"/>
      <c r="E80" s="17"/>
      <c r="F80" s="43"/>
      <c r="G80" s="13"/>
    </row>
    <row r="81" customFormat="false" ht="18" hidden="false" customHeight="true" outlineLevel="0" collapsed="false">
      <c r="B81" s="40"/>
      <c r="C81" s="10"/>
      <c r="D81" s="41"/>
      <c r="E81" s="18"/>
      <c r="F81" s="41"/>
      <c r="G81" s="10"/>
    </row>
    <row r="82" customFormat="false" ht="18" hidden="false" customHeight="true" outlineLevel="0" collapsed="false">
      <c r="B82" s="42"/>
      <c r="C82" s="13"/>
      <c r="D82" s="43"/>
      <c r="E82" s="17"/>
      <c r="F82" s="43"/>
      <c r="G82" s="13"/>
    </row>
    <row r="83" customFormat="false" ht="18" hidden="false" customHeight="true" outlineLevel="0" collapsed="false">
      <c r="B83" s="40"/>
      <c r="C83" s="10"/>
      <c r="D83" s="41"/>
      <c r="E83" s="18"/>
      <c r="F83" s="41"/>
      <c r="G83" s="10"/>
    </row>
    <row r="84" customFormat="false" ht="18" hidden="false" customHeight="true" outlineLevel="0" collapsed="false">
      <c r="B84" s="42"/>
      <c r="C84" s="13"/>
      <c r="D84" s="43"/>
      <c r="E84" s="17"/>
      <c r="F84" s="43"/>
      <c r="G84" s="13"/>
    </row>
    <row r="85" customFormat="false" ht="18" hidden="false" customHeight="true" outlineLevel="0" collapsed="false">
      <c r="B85" s="40"/>
      <c r="C85" s="10"/>
      <c r="D85" s="41"/>
      <c r="E85" s="18"/>
      <c r="F85" s="41"/>
      <c r="G85" s="10"/>
    </row>
    <row r="86" customFormat="false" ht="18" hidden="false" customHeight="true" outlineLevel="0" collapsed="false">
      <c r="B86" s="42"/>
      <c r="C86" s="13"/>
      <c r="D86" s="43"/>
      <c r="E86" s="17"/>
      <c r="F86" s="43"/>
      <c r="G86" s="13"/>
    </row>
    <row r="87" customFormat="false" ht="18" hidden="false" customHeight="true" outlineLevel="0" collapsed="false">
      <c r="B87" s="40"/>
      <c r="C87" s="10"/>
      <c r="D87" s="41"/>
      <c r="E87" s="18"/>
      <c r="F87" s="41"/>
      <c r="G87" s="10"/>
    </row>
    <row r="88" customFormat="false" ht="18" hidden="false" customHeight="true" outlineLevel="0" collapsed="false">
      <c r="B88" s="42"/>
      <c r="C88" s="13"/>
      <c r="D88" s="43"/>
      <c r="E88" s="17"/>
      <c r="F88" s="43"/>
      <c r="G88" s="13"/>
    </row>
    <row r="89" customFormat="false" ht="18" hidden="false" customHeight="true" outlineLevel="0" collapsed="false">
      <c r="B89" s="40"/>
      <c r="C89" s="10"/>
      <c r="D89" s="41"/>
      <c r="E89" s="18"/>
      <c r="F89" s="41"/>
      <c r="G89" s="10"/>
    </row>
    <row r="90" customFormat="false" ht="18" hidden="false" customHeight="true" outlineLevel="0" collapsed="false">
      <c r="B90" s="42"/>
      <c r="C90" s="13"/>
      <c r="D90" s="43"/>
      <c r="E90" s="17"/>
      <c r="F90" s="43"/>
      <c r="G90" s="13"/>
    </row>
    <row r="91" customFormat="false" ht="18" hidden="false" customHeight="true" outlineLevel="0" collapsed="false">
      <c r="B91" s="40"/>
      <c r="C91" s="10"/>
      <c r="D91" s="41"/>
      <c r="E91" s="18"/>
      <c r="F91" s="41"/>
      <c r="G91" s="10"/>
    </row>
    <row r="92" customFormat="false" ht="18" hidden="false" customHeight="true" outlineLevel="0" collapsed="false">
      <c r="B92" s="42"/>
      <c r="C92" s="13"/>
      <c r="D92" s="43"/>
      <c r="E92" s="17"/>
      <c r="F92" s="43"/>
      <c r="G92" s="13"/>
    </row>
    <row r="93" customFormat="false" ht="18" hidden="false" customHeight="true" outlineLevel="0" collapsed="false">
      <c r="B93" s="40"/>
      <c r="C93" s="10"/>
      <c r="D93" s="41"/>
      <c r="E93" s="18"/>
      <c r="F93" s="41"/>
      <c r="G93" s="10"/>
    </row>
    <row r="94" customFormat="false" ht="18" hidden="false" customHeight="true" outlineLevel="0" collapsed="false">
      <c r="B94" s="42"/>
      <c r="C94" s="13"/>
      <c r="D94" s="43"/>
      <c r="E94" s="17"/>
      <c r="F94" s="43"/>
      <c r="G94" s="13"/>
    </row>
    <row r="95" customFormat="false" ht="18" hidden="false" customHeight="true" outlineLevel="0" collapsed="false">
      <c r="B95" s="40"/>
      <c r="C95" s="10"/>
      <c r="D95" s="41"/>
      <c r="E95" s="18"/>
      <c r="F95" s="41"/>
      <c r="G95" s="10"/>
    </row>
    <row r="96" customFormat="false" ht="18" hidden="false" customHeight="true" outlineLevel="0" collapsed="false">
      <c r="B96" s="42"/>
      <c r="C96" s="13"/>
      <c r="D96" s="43"/>
      <c r="E96" s="17"/>
      <c r="F96" s="43"/>
      <c r="G96" s="13"/>
    </row>
    <row r="97" customFormat="false" ht="18" hidden="false" customHeight="true" outlineLevel="0" collapsed="false">
      <c r="B97" s="40"/>
      <c r="C97" s="10"/>
      <c r="D97" s="41"/>
      <c r="E97" s="18"/>
      <c r="F97" s="41"/>
      <c r="G97" s="10"/>
    </row>
    <row r="98" customFormat="false" ht="18" hidden="false" customHeight="true" outlineLevel="0" collapsed="false">
      <c r="B98" s="42"/>
      <c r="C98" s="13"/>
      <c r="D98" s="43"/>
      <c r="E98" s="17"/>
      <c r="F98" s="43"/>
      <c r="G98" s="13"/>
    </row>
    <row r="99" customFormat="false" ht="18" hidden="false" customHeight="true" outlineLevel="0" collapsed="false">
      <c r="B99" s="40"/>
      <c r="C99" s="10"/>
      <c r="D99" s="41"/>
      <c r="E99" s="18"/>
      <c r="F99" s="41"/>
      <c r="G99" s="10"/>
    </row>
    <row r="100" customFormat="false" ht="18" hidden="false" customHeight="true" outlineLevel="0" collapsed="false">
      <c r="B100" s="42"/>
      <c r="C100" s="13"/>
      <c r="D100" s="43"/>
      <c r="E100" s="17"/>
      <c r="F100" s="43"/>
      <c r="G100" s="13"/>
    </row>
    <row r="101" customFormat="false" ht="18" hidden="false" customHeight="true" outlineLevel="0" collapsed="false">
      <c r="B101" s="40"/>
      <c r="C101" s="10"/>
      <c r="D101" s="41"/>
      <c r="E101" s="18"/>
      <c r="F101" s="41"/>
      <c r="G101" s="10"/>
    </row>
    <row r="102" customFormat="false" ht="18" hidden="false" customHeight="true" outlineLevel="0" collapsed="false">
      <c r="B102" s="42"/>
      <c r="C102" s="13"/>
      <c r="D102" s="43"/>
      <c r="E102" s="17"/>
      <c r="F102" s="43"/>
      <c r="G102" s="13"/>
    </row>
    <row r="103" customFormat="false" ht="18" hidden="false" customHeight="true" outlineLevel="0" collapsed="false">
      <c r="B103" s="40"/>
      <c r="C103" s="10"/>
      <c r="D103" s="41"/>
      <c r="E103" s="18"/>
      <c r="F103" s="41"/>
      <c r="G103" s="10"/>
    </row>
    <row r="104" customFormat="false" ht="18" hidden="false" customHeight="true" outlineLevel="0" collapsed="false">
      <c r="B104" s="42"/>
      <c r="C104" s="13"/>
      <c r="D104" s="43"/>
      <c r="E104" s="17"/>
      <c r="F104" s="43"/>
      <c r="G104" s="13"/>
    </row>
    <row r="105" customFormat="false" ht="18" hidden="false" customHeight="true" outlineLevel="0" collapsed="false">
      <c r="B105" s="40"/>
      <c r="C105" s="10"/>
      <c r="D105" s="41"/>
      <c r="E105" s="18"/>
      <c r="F105" s="41"/>
      <c r="G105" s="10"/>
    </row>
    <row r="106" customFormat="false" ht="18" hidden="false" customHeight="true" outlineLevel="0" collapsed="false">
      <c r="B106" s="42"/>
      <c r="C106" s="13"/>
      <c r="D106" s="43"/>
      <c r="E106" s="17"/>
      <c r="F106" s="43"/>
      <c r="G106" s="13"/>
    </row>
    <row r="107" customFormat="false" ht="18" hidden="false" customHeight="true" outlineLevel="0" collapsed="false">
      <c r="B107" s="40"/>
      <c r="C107" s="10"/>
      <c r="D107" s="41"/>
      <c r="E107" s="18"/>
      <c r="F107" s="41"/>
      <c r="G107" s="10"/>
    </row>
    <row r="108" customFormat="false" ht="18" hidden="false" customHeight="true" outlineLevel="0" collapsed="false">
      <c r="B108" s="42"/>
      <c r="C108" s="13"/>
      <c r="D108" s="43"/>
      <c r="E108" s="17"/>
      <c r="F108" s="43"/>
      <c r="G108" s="13"/>
    </row>
    <row r="109" customFormat="false" ht="18" hidden="false" customHeight="true" outlineLevel="0" collapsed="false">
      <c r="B109" s="40"/>
      <c r="C109" s="10"/>
      <c r="D109" s="41"/>
      <c r="E109" s="18"/>
      <c r="F109" s="41"/>
      <c r="G109" s="10"/>
    </row>
    <row r="110" customFormat="false" ht="18" hidden="false" customHeight="true" outlineLevel="0" collapsed="false">
      <c r="B110" s="42"/>
      <c r="C110" s="13"/>
      <c r="D110" s="43"/>
      <c r="E110" s="17"/>
      <c r="F110" s="43"/>
      <c r="G110" s="13"/>
    </row>
    <row r="111" customFormat="false" ht="18" hidden="false" customHeight="true" outlineLevel="0" collapsed="false">
      <c r="B111" s="40"/>
      <c r="C111" s="10"/>
      <c r="D111" s="41"/>
      <c r="E111" s="18"/>
      <c r="F111" s="41"/>
      <c r="G111" s="10"/>
    </row>
    <row r="112" customFormat="false" ht="18" hidden="false" customHeight="true" outlineLevel="0" collapsed="false">
      <c r="B112" s="42"/>
      <c r="C112" s="13"/>
      <c r="D112" s="43"/>
      <c r="E112" s="17"/>
      <c r="F112" s="43"/>
      <c r="G112" s="13"/>
    </row>
    <row r="113" customFormat="false" ht="18" hidden="false" customHeight="true" outlineLevel="0" collapsed="false">
      <c r="B113" s="40"/>
      <c r="C113" s="10"/>
      <c r="D113" s="41"/>
      <c r="E113" s="18"/>
      <c r="F113" s="41"/>
      <c r="G113" s="10"/>
    </row>
    <row r="114" customFormat="false" ht="18" hidden="false" customHeight="true" outlineLevel="0" collapsed="false">
      <c r="B114" s="42"/>
      <c r="C114" s="13"/>
      <c r="D114" s="43"/>
      <c r="E114" s="17"/>
      <c r="F114" s="43"/>
      <c r="G114" s="13"/>
    </row>
    <row r="115" customFormat="false" ht="18" hidden="false" customHeight="true" outlineLevel="0" collapsed="false">
      <c r="B115" s="40"/>
      <c r="C115" s="10"/>
      <c r="D115" s="41"/>
      <c r="E115" s="18"/>
      <c r="F115" s="41"/>
      <c r="G115" s="10"/>
    </row>
    <row r="116" customFormat="false" ht="18" hidden="false" customHeight="true" outlineLevel="0" collapsed="false">
      <c r="B116" s="42"/>
      <c r="C116" s="13"/>
      <c r="D116" s="43"/>
      <c r="E116" s="17"/>
      <c r="F116" s="43"/>
      <c r="G116" s="13"/>
    </row>
    <row r="117" customFormat="false" ht="18" hidden="false" customHeight="true" outlineLevel="0" collapsed="false">
      <c r="B117" s="40"/>
      <c r="C117" s="10"/>
      <c r="D117" s="41"/>
      <c r="E117" s="18"/>
      <c r="F117" s="41"/>
      <c r="G117" s="10"/>
    </row>
    <row r="118" customFormat="false" ht="18" hidden="false" customHeight="true" outlineLevel="0" collapsed="false">
      <c r="B118" s="42"/>
      <c r="C118" s="13"/>
      <c r="D118" s="43"/>
      <c r="E118" s="17"/>
      <c r="F118" s="43"/>
      <c r="G118" s="13"/>
    </row>
    <row r="119" customFormat="false" ht="18" hidden="false" customHeight="true" outlineLevel="0" collapsed="false">
      <c r="B119" s="40"/>
      <c r="C119" s="10"/>
      <c r="D119" s="41"/>
      <c r="E119" s="18"/>
      <c r="F119" s="41"/>
      <c r="G119" s="10"/>
    </row>
    <row r="120" customFormat="false" ht="18" hidden="false" customHeight="true" outlineLevel="0" collapsed="false">
      <c r="B120" s="42"/>
      <c r="C120" s="13"/>
      <c r="D120" s="43"/>
      <c r="E120" s="17"/>
      <c r="F120" s="43"/>
      <c r="G120" s="13"/>
    </row>
    <row r="121" customFormat="false" ht="18" hidden="false" customHeight="true" outlineLevel="0" collapsed="false">
      <c r="B121" s="40"/>
      <c r="C121" s="10"/>
      <c r="D121" s="41"/>
      <c r="E121" s="18"/>
      <c r="F121" s="41"/>
      <c r="G121" s="10"/>
    </row>
    <row r="122" customFormat="false" ht="18" hidden="false" customHeight="true" outlineLevel="0" collapsed="false">
      <c r="B122" s="42"/>
      <c r="C122" s="13"/>
      <c r="D122" s="43"/>
      <c r="E122" s="17"/>
      <c r="F122" s="43"/>
      <c r="G122" s="13"/>
    </row>
    <row r="123" customFormat="false" ht="18" hidden="false" customHeight="true" outlineLevel="0" collapsed="false">
      <c r="B123" s="40"/>
      <c r="C123" s="10"/>
      <c r="D123" s="41"/>
      <c r="E123" s="18"/>
      <c r="F123" s="41"/>
      <c r="G123" s="10"/>
    </row>
    <row r="124" customFormat="false" ht="18" hidden="false" customHeight="true" outlineLevel="0" collapsed="false">
      <c r="B124" s="42"/>
      <c r="C124" s="13"/>
      <c r="D124" s="43"/>
      <c r="E124" s="17"/>
      <c r="F124" s="43"/>
      <c r="G124" s="13"/>
    </row>
    <row r="125" customFormat="false" ht="18" hidden="false" customHeight="true" outlineLevel="0" collapsed="false">
      <c r="B125" s="40"/>
      <c r="C125" s="10"/>
      <c r="D125" s="41"/>
      <c r="E125" s="18"/>
      <c r="F125" s="41"/>
      <c r="G125" s="10"/>
    </row>
    <row r="126" customFormat="false" ht="18" hidden="false" customHeight="true" outlineLevel="0" collapsed="false">
      <c r="B126" s="42"/>
      <c r="C126" s="13"/>
      <c r="D126" s="43"/>
      <c r="E126" s="17"/>
      <c r="F126" s="43"/>
      <c r="G126" s="13"/>
    </row>
    <row r="127" customFormat="false" ht="18" hidden="false" customHeight="true" outlineLevel="0" collapsed="false">
      <c r="B127" s="40"/>
      <c r="C127" s="10"/>
      <c r="D127" s="41"/>
      <c r="E127" s="18"/>
      <c r="F127" s="41"/>
      <c r="G127" s="10"/>
    </row>
    <row r="128" customFormat="false" ht="18" hidden="false" customHeight="true" outlineLevel="0" collapsed="false">
      <c r="B128" s="42"/>
      <c r="C128" s="13"/>
      <c r="D128" s="43"/>
      <c r="E128" s="17"/>
      <c r="F128" s="43"/>
      <c r="G128" s="13"/>
    </row>
    <row r="129" customFormat="false" ht="18" hidden="false" customHeight="true" outlineLevel="0" collapsed="false">
      <c r="B129" s="40"/>
      <c r="C129" s="10"/>
      <c r="D129" s="41"/>
      <c r="E129" s="18"/>
      <c r="F129" s="41"/>
      <c r="G129" s="10"/>
    </row>
    <row r="130" customFormat="false" ht="18" hidden="false" customHeight="true" outlineLevel="0" collapsed="false">
      <c r="B130" s="42"/>
      <c r="C130" s="13"/>
      <c r="D130" s="43"/>
      <c r="E130" s="17"/>
      <c r="F130" s="43"/>
      <c r="G130" s="13"/>
    </row>
    <row r="131" customFormat="false" ht="18" hidden="false" customHeight="true" outlineLevel="0" collapsed="false">
      <c r="B131" s="40"/>
      <c r="C131" s="10"/>
      <c r="D131" s="41"/>
      <c r="E131" s="18"/>
      <c r="F131" s="41"/>
      <c r="G131" s="10"/>
    </row>
    <row r="132" customFormat="false" ht="18" hidden="false" customHeight="true" outlineLevel="0" collapsed="false">
      <c r="B132" s="42"/>
      <c r="C132" s="13"/>
      <c r="D132" s="43"/>
      <c r="E132" s="17"/>
      <c r="F132" s="43"/>
      <c r="G132" s="13"/>
    </row>
    <row r="133" customFormat="false" ht="18" hidden="false" customHeight="true" outlineLevel="0" collapsed="false">
      <c r="B133" s="40"/>
      <c r="C133" s="10"/>
      <c r="D133" s="41"/>
      <c r="E133" s="18"/>
      <c r="F133" s="41"/>
      <c r="G133" s="10"/>
    </row>
    <row r="134" customFormat="false" ht="18" hidden="false" customHeight="true" outlineLevel="0" collapsed="false">
      <c r="B134" s="42"/>
      <c r="C134" s="13"/>
      <c r="D134" s="43"/>
      <c r="E134" s="17"/>
      <c r="F134" s="43"/>
      <c r="G134" s="13"/>
    </row>
    <row r="135" customFormat="false" ht="18" hidden="false" customHeight="true" outlineLevel="0" collapsed="false">
      <c r="B135" s="40"/>
      <c r="C135" s="10"/>
      <c r="D135" s="41"/>
      <c r="E135" s="18"/>
      <c r="F135" s="41"/>
      <c r="G135" s="10"/>
    </row>
    <row r="136" customFormat="false" ht="18" hidden="false" customHeight="true" outlineLevel="0" collapsed="false">
      <c r="B136" s="42"/>
      <c r="C136" s="13"/>
      <c r="D136" s="43"/>
      <c r="E136" s="17"/>
      <c r="F136" s="43"/>
      <c r="G136" s="13"/>
    </row>
    <row r="137" customFormat="false" ht="18" hidden="false" customHeight="true" outlineLevel="0" collapsed="false">
      <c r="B137" s="40"/>
      <c r="C137" s="10"/>
      <c r="D137" s="41"/>
      <c r="E137" s="18"/>
      <c r="F137" s="41"/>
      <c r="G137" s="10"/>
    </row>
    <row r="138" customFormat="false" ht="18" hidden="false" customHeight="true" outlineLevel="0" collapsed="false">
      <c r="B138" s="42"/>
      <c r="C138" s="13"/>
      <c r="D138" s="43"/>
      <c r="E138" s="17"/>
      <c r="F138" s="43"/>
      <c r="G138" s="13"/>
    </row>
    <row r="139" customFormat="false" ht="18" hidden="false" customHeight="true" outlineLevel="0" collapsed="false">
      <c r="B139" s="40"/>
      <c r="C139" s="10"/>
      <c r="D139" s="41"/>
      <c r="E139" s="18"/>
      <c r="F139" s="41"/>
      <c r="G139" s="10"/>
    </row>
    <row r="140" customFormat="false" ht="18" hidden="false" customHeight="true" outlineLevel="0" collapsed="false">
      <c r="B140" s="42"/>
      <c r="C140" s="13"/>
      <c r="D140" s="43"/>
      <c r="E140" s="17"/>
      <c r="F140" s="43"/>
      <c r="G140" s="13"/>
    </row>
    <row r="141" customFormat="false" ht="18" hidden="false" customHeight="true" outlineLevel="0" collapsed="false">
      <c r="B141" s="40"/>
      <c r="C141" s="10"/>
      <c r="D141" s="41"/>
      <c r="E141" s="18"/>
      <c r="F141" s="41"/>
      <c r="G141" s="10"/>
    </row>
    <row r="142" customFormat="false" ht="18" hidden="false" customHeight="true" outlineLevel="0" collapsed="false">
      <c r="B142" s="42"/>
      <c r="C142" s="13"/>
      <c r="D142" s="43"/>
      <c r="E142" s="17"/>
      <c r="F142" s="43"/>
      <c r="G142" s="13"/>
    </row>
    <row r="143" customFormat="false" ht="18" hidden="false" customHeight="true" outlineLevel="0" collapsed="false">
      <c r="B143" s="40"/>
      <c r="C143" s="10"/>
      <c r="D143" s="41"/>
      <c r="E143" s="18"/>
      <c r="F143" s="41"/>
      <c r="G143" s="10"/>
    </row>
    <row r="144" customFormat="false" ht="18" hidden="false" customHeight="true" outlineLevel="0" collapsed="false">
      <c r="B144" s="42"/>
      <c r="C144" s="13"/>
      <c r="D144" s="43"/>
      <c r="E144" s="17"/>
      <c r="F144" s="43"/>
      <c r="G144" s="13"/>
    </row>
    <row r="145" customFormat="false" ht="18" hidden="false" customHeight="true" outlineLevel="0" collapsed="false">
      <c r="B145" s="40"/>
      <c r="C145" s="10"/>
      <c r="D145" s="41"/>
      <c r="E145" s="18"/>
      <c r="F145" s="41"/>
      <c r="G145" s="10"/>
    </row>
    <row r="146" customFormat="false" ht="18" hidden="false" customHeight="true" outlineLevel="0" collapsed="false">
      <c r="B146" s="42"/>
      <c r="C146" s="13"/>
      <c r="D146" s="43"/>
      <c r="E146" s="17"/>
      <c r="F146" s="43"/>
      <c r="G146" s="13"/>
    </row>
    <row r="147" customFormat="false" ht="18" hidden="false" customHeight="true" outlineLevel="0" collapsed="false">
      <c r="B147" s="40"/>
      <c r="C147" s="10"/>
      <c r="D147" s="41"/>
      <c r="E147" s="18"/>
      <c r="F147" s="41"/>
      <c r="G147" s="10"/>
    </row>
    <row r="148" customFormat="false" ht="18" hidden="false" customHeight="true" outlineLevel="0" collapsed="false">
      <c r="B148" s="42"/>
      <c r="C148" s="13"/>
      <c r="D148" s="43"/>
      <c r="E148" s="17"/>
      <c r="F148" s="43"/>
      <c r="G148" s="13"/>
    </row>
    <row r="149" customFormat="false" ht="18" hidden="false" customHeight="true" outlineLevel="0" collapsed="false">
      <c r="B149" s="40"/>
      <c r="C149" s="10"/>
      <c r="D149" s="41"/>
      <c r="E149" s="18"/>
      <c r="F149" s="41"/>
      <c r="G149" s="10"/>
    </row>
    <row r="150" customFormat="false" ht="18" hidden="false" customHeight="true" outlineLevel="0" collapsed="false">
      <c r="B150" s="42"/>
      <c r="C150" s="13"/>
      <c r="D150" s="43"/>
      <c r="E150" s="17"/>
      <c r="F150" s="43"/>
      <c r="G150" s="13"/>
    </row>
    <row r="151" customFormat="false" ht="18" hidden="false" customHeight="true" outlineLevel="0" collapsed="false">
      <c r="B151" s="40"/>
      <c r="C151" s="10"/>
      <c r="D151" s="41"/>
      <c r="E151" s="18"/>
      <c r="F151" s="41"/>
      <c r="G151" s="10"/>
    </row>
    <row r="152" customFormat="false" ht="18" hidden="false" customHeight="true" outlineLevel="0" collapsed="false">
      <c r="B152" s="42"/>
      <c r="C152" s="13"/>
      <c r="D152" s="43"/>
      <c r="E152" s="17"/>
      <c r="F152" s="43"/>
      <c r="G152" s="13"/>
    </row>
    <row r="153" customFormat="false" ht="18" hidden="false" customHeight="true" outlineLevel="0" collapsed="false">
      <c r="B153" s="40"/>
      <c r="C153" s="10"/>
      <c r="D153" s="41"/>
      <c r="E153" s="18"/>
      <c r="F153" s="41"/>
      <c r="G153" s="10"/>
    </row>
    <row r="154" customFormat="false" ht="18" hidden="false" customHeight="true" outlineLevel="0" collapsed="false">
      <c r="B154" s="42"/>
      <c r="C154" s="13"/>
      <c r="D154" s="43"/>
      <c r="E154" s="17"/>
      <c r="F154" s="43"/>
      <c r="G154" s="13"/>
    </row>
    <row r="155" customFormat="false" ht="18" hidden="false" customHeight="true" outlineLevel="0" collapsed="false">
      <c r="B155" s="40"/>
      <c r="C155" s="10"/>
      <c r="D155" s="41"/>
      <c r="E155" s="18"/>
      <c r="F155" s="41"/>
      <c r="G155" s="10"/>
    </row>
    <row r="156" customFormat="false" ht="18" hidden="false" customHeight="true" outlineLevel="0" collapsed="false">
      <c r="B156" s="42"/>
      <c r="C156" s="13"/>
      <c r="D156" s="43"/>
      <c r="E156" s="17"/>
      <c r="F156" s="43"/>
      <c r="G156" s="13"/>
    </row>
    <row r="157" customFormat="false" ht="18" hidden="false" customHeight="true" outlineLevel="0" collapsed="false">
      <c r="B157" s="40"/>
      <c r="C157" s="10"/>
      <c r="D157" s="41"/>
      <c r="E157" s="18"/>
      <c r="F157" s="41"/>
      <c r="G157" s="10"/>
    </row>
    <row r="158" customFormat="false" ht="18" hidden="false" customHeight="true" outlineLevel="0" collapsed="false">
      <c r="B158" s="42"/>
      <c r="C158" s="13"/>
      <c r="D158" s="43"/>
      <c r="E158" s="17"/>
      <c r="F158" s="43"/>
      <c r="G158" s="13"/>
    </row>
    <row r="159" customFormat="false" ht="18" hidden="false" customHeight="true" outlineLevel="0" collapsed="false">
      <c r="B159" s="40"/>
      <c r="C159" s="10"/>
      <c r="D159" s="41"/>
      <c r="E159" s="18"/>
      <c r="F159" s="41"/>
      <c r="G159" s="10"/>
    </row>
    <row r="160" customFormat="false" ht="18" hidden="false" customHeight="true" outlineLevel="0" collapsed="false">
      <c r="B160" s="42"/>
      <c r="C160" s="13"/>
      <c r="D160" s="43"/>
      <c r="E160" s="17"/>
      <c r="F160" s="43"/>
      <c r="G160" s="13"/>
    </row>
    <row r="161" customFormat="false" ht="18" hidden="false" customHeight="true" outlineLevel="0" collapsed="false">
      <c r="B161" s="40"/>
      <c r="C161" s="10"/>
      <c r="D161" s="41"/>
      <c r="E161" s="18"/>
      <c r="F161" s="41"/>
      <c r="G161" s="10"/>
    </row>
    <row r="162" customFormat="false" ht="18" hidden="false" customHeight="true" outlineLevel="0" collapsed="false">
      <c r="B162" s="42"/>
      <c r="C162" s="13"/>
      <c r="D162" s="43"/>
      <c r="E162" s="17"/>
      <c r="F162" s="43"/>
      <c r="G162" s="13"/>
    </row>
    <row r="163" customFormat="false" ht="18" hidden="false" customHeight="true" outlineLevel="0" collapsed="false">
      <c r="B163" s="40"/>
      <c r="C163" s="10"/>
      <c r="D163" s="41"/>
      <c r="E163" s="18"/>
      <c r="F163" s="41"/>
      <c r="G163" s="10"/>
    </row>
    <row r="164" customFormat="false" ht="18" hidden="false" customHeight="true" outlineLevel="0" collapsed="false">
      <c r="B164" s="42"/>
      <c r="C164" s="13"/>
      <c r="D164" s="43"/>
      <c r="E164" s="17"/>
      <c r="F164" s="43"/>
      <c r="G164" s="13"/>
    </row>
    <row r="165" customFormat="false" ht="18" hidden="false" customHeight="true" outlineLevel="0" collapsed="false">
      <c r="B165" s="40"/>
      <c r="C165" s="10"/>
      <c r="D165" s="41"/>
      <c r="E165" s="18"/>
      <c r="F165" s="41"/>
      <c r="G165" s="10"/>
    </row>
    <row r="166" customFormat="false" ht="18" hidden="false" customHeight="true" outlineLevel="0" collapsed="false">
      <c r="B166" s="42"/>
      <c r="C166" s="13"/>
      <c r="D166" s="43"/>
      <c r="E166" s="17"/>
      <c r="F166" s="43"/>
      <c r="G166" s="13"/>
    </row>
    <row r="167" customFormat="false" ht="18" hidden="false" customHeight="true" outlineLevel="0" collapsed="false">
      <c r="B167" s="40"/>
      <c r="C167" s="10"/>
      <c r="D167" s="41"/>
      <c r="E167" s="18"/>
      <c r="F167" s="41"/>
      <c r="G167" s="10"/>
    </row>
    <row r="168" customFormat="false" ht="18" hidden="false" customHeight="true" outlineLevel="0" collapsed="false">
      <c r="B168" s="42"/>
      <c r="C168" s="13"/>
      <c r="D168" s="43"/>
      <c r="E168" s="17"/>
      <c r="F168" s="43"/>
      <c r="G168" s="13"/>
    </row>
    <row r="169" customFormat="false" ht="18" hidden="false" customHeight="true" outlineLevel="0" collapsed="false">
      <c r="B169" s="40"/>
      <c r="C169" s="10"/>
      <c r="D169" s="41"/>
      <c r="E169" s="18"/>
      <c r="F169" s="41"/>
      <c r="G169" s="10"/>
    </row>
    <row r="170" customFormat="false" ht="18" hidden="false" customHeight="true" outlineLevel="0" collapsed="false">
      <c r="B170" s="42"/>
      <c r="C170" s="13"/>
      <c r="D170" s="43"/>
      <c r="E170" s="17"/>
      <c r="F170" s="43"/>
      <c r="G170" s="13"/>
    </row>
    <row r="171" customFormat="false" ht="18" hidden="false" customHeight="true" outlineLevel="0" collapsed="false">
      <c r="B171" s="40"/>
      <c r="C171" s="10"/>
      <c r="D171" s="41"/>
      <c r="E171" s="18"/>
      <c r="F171" s="41"/>
      <c r="G171" s="10"/>
    </row>
    <row r="172" customFormat="false" ht="18" hidden="false" customHeight="true" outlineLevel="0" collapsed="false">
      <c r="B172" s="42"/>
      <c r="C172" s="13"/>
      <c r="D172" s="43"/>
      <c r="E172" s="17"/>
      <c r="F172" s="43"/>
      <c r="G172" s="13"/>
    </row>
    <row r="173" customFormat="false" ht="18" hidden="false" customHeight="true" outlineLevel="0" collapsed="false">
      <c r="B173" s="40"/>
      <c r="C173" s="10"/>
      <c r="D173" s="41"/>
      <c r="E173" s="18"/>
      <c r="F173" s="41"/>
      <c r="G173" s="10"/>
    </row>
    <row r="174" customFormat="false" ht="18" hidden="false" customHeight="true" outlineLevel="0" collapsed="false">
      <c r="B174" s="42"/>
      <c r="C174" s="13"/>
      <c r="D174" s="43"/>
      <c r="E174" s="17"/>
      <c r="F174" s="43"/>
      <c r="G174" s="13"/>
    </row>
    <row r="175" customFormat="false" ht="18" hidden="false" customHeight="true" outlineLevel="0" collapsed="false">
      <c r="B175" s="40"/>
      <c r="C175" s="10"/>
      <c r="D175" s="41"/>
      <c r="E175" s="18"/>
      <c r="F175" s="41"/>
      <c r="G175" s="10"/>
    </row>
    <row r="176" customFormat="false" ht="18" hidden="false" customHeight="true" outlineLevel="0" collapsed="false">
      <c r="B176" s="42"/>
      <c r="C176" s="13"/>
      <c r="D176" s="43"/>
      <c r="E176" s="17"/>
      <c r="F176" s="43"/>
      <c r="G176" s="13"/>
    </row>
    <row r="177" customFormat="false" ht="18" hidden="false" customHeight="true" outlineLevel="0" collapsed="false">
      <c r="B177" s="40"/>
      <c r="C177" s="10"/>
      <c r="D177" s="41"/>
      <c r="E177" s="18"/>
      <c r="F177" s="41"/>
      <c r="G177" s="10"/>
    </row>
    <row r="178" customFormat="false" ht="18" hidden="false" customHeight="true" outlineLevel="0" collapsed="false">
      <c r="B178" s="42"/>
      <c r="C178" s="13"/>
      <c r="D178" s="43"/>
      <c r="E178" s="17"/>
      <c r="F178" s="43"/>
      <c r="G178" s="13"/>
    </row>
    <row r="179" customFormat="false" ht="18" hidden="false" customHeight="true" outlineLevel="0" collapsed="false">
      <c r="B179" s="40"/>
      <c r="C179" s="10"/>
      <c r="D179" s="41"/>
      <c r="E179" s="18"/>
      <c r="F179" s="41"/>
      <c r="G179" s="10"/>
    </row>
    <row r="180" customFormat="false" ht="18" hidden="false" customHeight="true" outlineLevel="0" collapsed="false">
      <c r="B180" s="42"/>
      <c r="C180" s="13"/>
      <c r="D180" s="43"/>
      <c r="E180" s="17"/>
      <c r="F180" s="43"/>
      <c r="G180" s="13"/>
    </row>
    <row r="181" customFormat="false" ht="18" hidden="false" customHeight="true" outlineLevel="0" collapsed="false">
      <c r="B181" s="40"/>
      <c r="C181" s="10"/>
      <c r="D181" s="41"/>
      <c r="E181" s="18"/>
      <c r="F181" s="41"/>
      <c r="G181" s="10"/>
    </row>
    <row r="182" customFormat="false" ht="18" hidden="false" customHeight="true" outlineLevel="0" collapsed="false">
      <c r="B182" s="42"/>
      <c r="C182" s="13"/>
      <c r="D182" s="43"/>
      <c r="E182" s="17"/>
      <c r="F182" s="43"/>
      <c r="G182" s="13"/>
    </row>
    <row r="183" customFormat="false" ht="18" hidden="false" customHeight="true" outlineLevel="0" collapsed="false">
      <c r="B183" s="40"/>
      <c r="C183" s="10"/>
      <c r="D183" s="41"/>
      <c r="E183" s="18"/>
      <c r="F183" s="41"/>
      <c r="G183" s="10"/>
    </row>
    <row r="184" customFormat="false" ht="18" hidden="false" customHeight="true" outlineLevel="0" collapsed="false">
      <c r="B184" s="42"/>
      <c r="C184" s="13"/>
      <c r="D184" s="43"/>
      <c r="E184" s="17"/>
      <c r="F184" s="43"/>
      <c r="G184" s="13"/>
    </row>
    <row r="185" customFormat="false" ht="18" hidden="false" customHeight="true" outlineLevel="0" collapsed="false">
      <c r="B185" s="40"/>
      <c r="C185" s="10"/>
      <c r="D185" s="41"/>
      <c r="E185" s="18"/>
      <c r="F185" s="41"/>
      <c r="G185" s="10"/>
    </row>
    <row r="186" customFormat="false" ht="18" hidden="false" customHeight="true" outlineLevel="0" collapsed="false">
      <c r="B186" s="42"/>
      <c r="C186" s="13"/>
      <c r="D186" s="43"/>
      <c r="E186" s="17"/>
      <c r="F186" s="43"/>
      <c r="G186" s="13"/>
    </row>
    <row r="187" customFormat="false" ht="18" hidden="false" customHeight="true" outlineLevel="0" collapsed="false">
      <c r="B187" s="40"/>
      <c r="C187" s="10"/>
      <c r="D187" s="41"/>
      <c r="E187" s="18"/>
      <c r="F187" s="41"/>
      <c r="G187" s="10"/>
    </row>
    <row r="188" customFormat="false" ht="18" hidden="false" customHeight="true" outlineLevel="0" collapsed="false">
      <c r="B188" s="42"/>
      <c r="C188" s="13"/>
      <c r="D188" s="43"/>
      <c r="E188" s="17"/>
      <c r="F188" s="43"/>
      <c r="G188" s="13"/>
    </row>
    <row r="189" customFormat="false" ht="18" hidden="false" customHeight="true" outlineLevel="0" collapsed="false">
      <c r="B189" s="40"/>
      <c r="C189" s="10"/>
      <c r="D189" s="41"/>
      <c r="E189" s="18"/>
      <c r="F189" s="41"/>
      <c r="G189" s="10"/>
    </row>
    <row r="190" customFormat="false" ht="18" hidden="false" customHeight="true" outlineLevel="0" collapsed="false">
      <c r="B190" s="42"/>
      <c r="C190" s="13"/>
      <c r="D190" s="43"/>
      <c r="E190" s="17"/>
      <c r="F190" s="43"/>
      <c r="G190" s="13"/>
    </row>
    <row r="191" customFormat="false" ht="18" hidden="false" customHeight="true" outlineLevel="0" collapsed="false">
      <c r="B191" s="40"/>
      <c r="C191" s="10"/>
      <c r="D191" s="41"/>
      <c r="E191" s="18"/>
      <c r="F191" s="41"/>
      <c r="G191" s="10"/>
    </row>
    <row r="192" customFormat="false" ht="18" hidden="false" customHeight="true" outlineLevel="0" collapsed="false">
      <c r="B192" s="42"/>
      <c r="C192" s="13"/>
      <c r="D192" s="43"/>
      <c r="E192" s="17"/>
      <c r="F192" s="43"/>
      <c r="G192" s="13"/>
    </row>
    <row r="193" customFormat="false" ht="18" hidden="false" customHeight="true" outlineLevel="0" collapsed="false">
      <c r="B193" s="40"/>
      <c r="C193" s="10"/>
      <c r="D193" s="41"/>
      <c r="E193" s="18"/>
      <c r="F193" s="41"/>
      <c r="G193" s="10"/>
    </row>
    <row r="194" customFormat="false" ht="18" hidden="false" customHeight="true" outlineLevel="0" collapsed="false">
      <c r="B194" s="42"/>
      <c r="C194" s="13"/>
      <c r="D194" s="43"/>
      <c r="E194" s="17"/>
      <c r="F194" s="43"/>
      <c r="G194" s="13"/>
    </row>
    <row r="195" customFormat="false" ht="18" hidden="false" customHeight="true" outlineLevel="0" collapsed="false">
      <c r="B195" s="40"/>
      <c r="C195" s="10"/>
      <c r="D195" s="41"/>
      <c r="E195" s="18"/>
      <c r="F195" s="41"/>
      <c r="G195" s="10"/>
    </row>
    <row r="196" customFormat="false" ht="18" hidden="false" customHeight="true" outlineLevel="0" collapsed="false">
      <c r="B196" s="42"/>
      <c r="C196" s="13"/>
      <c r="D196" s="43"/>
      <c r="E196" s="17"/>
      <c r="F196" s="43"/>
      <c r="G196" s="13"/>
    </row>
    <row r="197" customFormat="false" ht="18" hidden="false" customHeight="true" outlineLevel="0" collapsed="false">
      <c r="B197" s="40"/>
      <c r="C197" s="10"/>
      <c r="D197" s="41"/>
      <c r="E197" s="18"/>
      <c r="F197" s="41"/>
      <c r="G197" s="10"/>
    </row>
    <row r="198" customFormat="false" ht="18" hidden="false" customHeight="true" outlineLevel="0" collapsed="false">
      <c r="B198" s="42"/>
      <c r="C198" s="13"/>
      <c r="D198" s="43"/>
      <c r="E198" s="17"/>
      <c r="F198" s="43"/>
      <c r="G198" s="13"/>
    </row>
    <row r="199" customFormat="false" ht="18" hidden="false" customHeight="true" outlineLevel="0" collapsed="false">
      <c r="B199" s="40"/>
      <c r="C199" s="10"/>
      <c r="D199" s="41"/>
      <c r="E199" s="18"/>
      <c r="F199" s="41"/>
      <c r="G199" s="10"/>
    </row>
    <row r="200" customFormat="false" ht="18" hidden="false" customHeight="true" outlineLevel="0" collapsed="false">
      <c r="B200" s="42"/>
      <c r="C200" s="13"/>
      <c r="D200" s="43"/>
      <c r="E200" s="17"/>
      <c r="F200" s="43"/>
      <c r="G200" s="13"/>
    </row>
    <row r="201" customFormat="false" ht="18" hidden="false" customHeight="true" outlineLevel="0" collapsed="false">
      <c r="B201" s="40"/>
      <c r="C201" s="10"/>
      <c r="D201" s="41"/>
      <c r="E201" s="18"/>
      <c r="F201" s="41"/>
      <c r="G201" s="10"/>
    </row>
    <row r="202" customFormat="false" ht="18" hidden="false" customHeight="true" outlineLevel="0" collapsed="false">
      <c r="B202" s="42"/>
      <c r="C202" s="13"/>
      <c r="D202" s="43"/>
      <c r="E202" s="17"/>
      <c r="F202" s="43"/>
      <c r="G202" s="13"/>
    </row>
    <row r="203" customFormat="false" ht="18" hidden="false" customHeight="true" outlineLevel="0" collapsed="false">
      <c r="B203" s="40"/>
      <c r="C203" s="10"/>
      <c r="D203" s="41"/>
      <c r="E203" s="18"/>
      <c r="F203" s="41"/>
      <c r="G203" s="10"/>
    </row>
    <row r="204" customFormat="false" ht="18" hidden="false" customHeight="true" outlineLevel="0" collapsed="false">
      <c r="B204" s="42"/>
      <c r="C204" s="13"/>
      <c r="D204" s="43"/>
      <c r="E204" s="17"/>
      <c r="F204" s="43"/>
      <c r="G204" s="13"/>
    </row>
    <row r="205" customFormat="false" ht="18" hidden="false" customHeight="true" outlineLevel="0" collapsed="false">
      <c r="B205" s="40"/>
      <c r="C205" s="10"/>
      <c r="D205" s="41"/>
      <c r="E205" s="18"/>
      <c r="F205" s="41"/>
      <c r="G205" s="10"/>
    </row>
    <row r="206" customFormat="false" ht="18" hidden="false" customHeight="true" outlineLevel="0" collapsed="false">
      <c r="B206" s="42"/>
      <c r="C206" s="13"/>
      <c r="D206" s="43"/>
      <c r="E206" s="17"/>
      <c r="F206" s="43"/>
      <c r="G206" s="13"/>
    </row>
    <row r="207" customFormat="false" ht="18" hidden="false" customHeight="true" outlineLevel="0" collapsed="false">
      <c r="B207" s="40"/>
      <c r="C207" s="10"/>
      <c r="D207" s="41"/>
      <c r="E207" s="18"/>
      <c r="F207" s="41"/>
      <c r="G207" s="10"/>
    </row>
    <row r="208" customFormat="false" ht="18" hidden="false" customHeight="true" outlineLevel="0" collapsed="false">
      <c r="B208" s="42"/>
      <c r="C208" s="13"/>
      <c r="D208" s="43"/>
      <c r="E208" s="17"/>
      <c r="F208" s="43"/>
      <c r="G208" s="13"/>
    </row>
    <row r="209" customFormat="false" ht="18" hidden="false" customHeight="true" outlineLevel="0" collapsed="false">
      <c r="B209" s="40"/>
      <c r="C209" s="10"/>
      <c r="D209" s="41"/>
      <c r="E209" s="18"/>
      <c r="F209" s="41"/>
      <c r="G209" s="10"/>
    </row>
    <row r="210" customFormat="false" ht="18" hidden="false" customHeight="true" outlineLevel="0" collapsed="false">
      <c r="B210" s="42"/>
      <c r="C210" s="13"/>
      <c r="D210" s="43"/>
      <c r="E210" s="17"/>
      <c r="F210" s="43"/>
      <c r="G210" s="13"/>
    </row>
    <row r="211" customFormat="false" ht="18" hidden="false" customHeight="true" outlineLevel="0" collapsed="false">
      <c r="B211" s="40"/>
      <c r="C211" s="10"/>
      <c r="D211" s="41"/>
      <c r="E211" s="18"/>
      <c r="F211" s="41"/>
      <c r="G211" s="10"/>
    </row>
    <row r="212" customFormat="false" ht="18" hidden="false" customHeight="true" outlineLevel="0" collapsed="false">
      <c r="B212" s="42"/>
      <c r="C212" s="13"/>
      <c r="D212" s="43"/>
      <c r="E212" s="17"/>
      <c r="F212" s="43"/>
      <c r="G212" s="13"/>
    </row>
    <row r="213" customFormat="false" ht="18" hidden="false" customHeight="true" outlineLevel="0" collapsed="false">
      <c r="B213" s="40"/>
      <c r="C213" s="10"/>
      <c r="D213" s="41"/>
      <c r="E213" s="18"/>
      <c r="F213" s="41"/>
      <c r="G213" s="10"/>
    </row>
    <row r="214" customFormat="false" ht="18" hidden="false" customHeight="true" outlineLevel="0" collapsed="false">
      <c r="B214" s="42"/>
      <c r="C214" s="13"/>
      <c r="D214" s="43"/>
      <c r="E214" s="17"/>
      <c r="F214" s="43"/>
      <c r="G214" s="13"/>
    </row>
    <row r="215" customFormat="false" ht="18" hidden="false" customHeight="true" outlineLevel="0" collapsed="false">
      <c r="B215" s="40"/>
      <c r="C215" s="10"/>
      <c r="D215" s="41"/>
      <c r="E215" s="18"/>
      <c r="F215" s="41"/>
      <c r="G215" s="10"/>
    </row>
    <row r="216" customFormat="false" ht="18" hidden="false" customHeight="true" outlineLevel="0" collapsed="false">
      <c r="B216" s="42"/>
      <c r="C216" s="13"/>
      <c r="D216" s="43"/>
      <c r="E216" s="17"/>
      <c r="F216" s="43"/>
      <c r="G216" s="13"/>
    </row>
    <row r="217" customFormat="false" ht="18" hidden="false" customHeight="true" outlineLevel="0" collapsed="false">
      <c r="B217" s="40"/>
      <c r="C217" s="10"/>
      <c r="D217" s="41"/>
      <c r="E217" s="18"/>
      <c r="F217" s="41"/>
      <c r="G217" s="10"/>
    </row>
    <row r="218" customFormat="false" ht="18" hidden="false" customHeight="true" outlineLevel="0" collapsed="false">
      <c r="B218" s="42"/>
      <c r="C218" s="13"/>
      <c r="D218" s="43"/>
      <c r="E218" s="17"/>
      <c r="F218" s="43"/>
      <c r="G218" s="13"/>
    </row>
    <row r="219" customFormat="false" ht="18" hidden="false" customHeight="true" outlineLevel="0" collapsed="false">
      <c r="B219" s="40"/>
      <c r="C219" s="10"/>
      <c r="D219" s="41"/>
      <c r="E219" s="18"/>
      <c r="F219" s="41"/>
      <c r="G219" s="10"/>
    </row>
    <row r="220" customFormat="false" ht="18" hidden="false" customHeight="true" outlineLevel="0" collapsed="false">
      <c r="B220" s="42"/>
      <c r="C220" s="13"/>
      <c r="D220" s="43"/>
      <c r="E220" s="17"/>
      <c r="F220" s="43"/>
      <c r="G220" s="13"/>
    </row>
    <row r="221" customFormat="false" ht="18" hidden="false" customHeight="true" outlineLevel="0" collapsed="false">
      <c r="B221" s="40"/>
      <c r="C221" s="10"/>
      <c r="D221" s="41"/>
      <c r="E221" s="18"/>
      <c r="F221" s="41"/>
      <c r="G221" s="10"/>
    </row>
    <row r="222" customFormat="false" ht="18" hidden="false" customHeight="true" outlineLevel="0" collapsed="false">
      <c r="B222" s="42"/>
      <c r="C222" s="13"/>
      <c r="D222" s="43"/>
      <c r="E222" s="17"/>
      <c r="F222" s="43"/>
      <c r="G222" s="13"/>
    </row>
    <row r="223" customFormat="false" ht="18" hidden="false" customHeight="true" outlineLevel="0" collapsed="false">
      <c r="B223" s="40"/>
      <c r="C223" s="10"/>
      <c r="D223" s="41"/>
      <c r="E223" s="18"/>
      <c r="F223" s="41"/>
      <c r="G223" s="10"/>
    </row>
    <row r="224" customFormat="false" ht="18" hidden="false" customHeight="true" outlineLevel="0" collapsed="false">
      <c r="B224" s="42"/>
      <c r="C224" s="13"/>
      <c r="D224" s="43"/>
      <c r="E224" s="17"/>
      <c r="F224" s="43"/>
      <c r="G224" s="13"/>
    </row>
    <row r="225" customFormat="false" ht="18" hidden="false" customHeight="true" outlineLevel="0" collapsed="false">
      <c r="B225" s="40"/>
      <c r="C225" s="10"/>
      <c r="D225" s="41"/>
      <c r="E225" s="18"/>
      <c r="F225" s="41"/>
      <c r="G225" s="10"/>
    </row>
    <row r="226" customFormat="false" ht="18" hidden="false" customHeight="true" outlineLevel="0" collapsed="false">
      <c r="B226" s="42"/>
      <c r="C226" s="13"/>
      <c r="D226" s="43"/>
      <c r="E226" s="17"/>
      <c r="F226" s="43"/>
      <c r="G226" s="13"/>
    </row>
    <row r="227" customFormat="false" ht="18" hidden="false" customHeight="true" outlineLevel="0" collapsed="false">
      <c r="B227" s="40"/>
      <c r="C227" s="10"/>
      <c r="D227" s="41"/>
      <c r="E227" s="18"/>
      <c r="F227" s="41"/>
      <c r="G227" s="10"/>
    </row>
    <row r="228" customFormat="false" ht="18" hidden="false" customHeight="true" outlineLevel="0" collapsed="false">
      <c r="B228" s="42"/>
      <c r="C228" s="13"/>
      <c r="D228" s="43"/>
      <c r="E228" s="17"/>
      <c r="F228" s="43"/>
      <c r="G228" s="13"/>
    </row>
    <row r="229" customFormat="false" ht="18" hidden="false" customHeight="true" outlineLevel="0" collapsed="false">
      <c r="B229" s="40"/>
      <c r="C229" s="10"/>
      <c r="D229" s="41"/>
      <c r="E229" s="18"/>
      <c r="F229" s="41"/>
      <c r="G229" s="10"/>
    </row>
    <row r="230" customFormat="false" ht="18" hidden="false" customHeight="true" outlineLevel="0" collapsed="false">
      <c r="B230" s="42"/>
      <c r="C230" s="13"/>
      <c r="D230" s="43"/>
      <c r="E230" s="17"/>
      <c r="F230" s="43"/>
      <c r="G230" s="13"/>
    </row>
    <row r="231" customFormat="false" ht="18" hidden="false" customHeight="true" outlineLevel="0" collapsed="false">
      <c r="B231" s="40"/>
      <c r="C231" s="10"/>
      <c r="D231" s="41"/>
      <c r="E231" s="18"/>
      <c r="F231" s="41"/>
      <c r="G231" s="10"/>
    </row>
    <row r="232" customFormat="false" ht="18" hidden="false" customHeight="true" outlineLevel="0" collapsed="false">
      <c r="B232" s="42"/>
      <c r="C232" s="13"/>
      <c r="D232" s="43"/>
      <c r="E232" s="17"/>
      <c r="F232" s="43"/>
      <c r="G232" s="13"/>
    </row>
    <row r="233" customFormat="false" ht="18" hidden="false" customHeight="true" outlineLevel="0" collapsed="false">
      <c r="B233" s="40"/>
      <c r="C233" s="10"/>
      <c r="D233" s="41"/>
      <c r="E233" s="18"/>
      <c r="F233" s="41"/>
      <c r="G233" s="10"/>
    </row>
    <row r="234" customFormat="false" ht="18" hidden="false" customHeight="true" outlineLevel="0" collapsed="false">
      <c r="B234" s="42"/>
      <c r="C234" s="13"/>
      <c r="D234" s="43"/>
      <c r="E234" s="17"/>
      <c r="F234" s="43"/>
      <c r="G234" s="13"/>
    </row>
    <row r="235" customFormat="false" ht="18" hidden="false" customHeight="true" outlineLevel="0" collapsed="false">
      <c r="B235" s="40"/>
      <c r="C235" s="10"/>
      <c r="D235" s="41"/>
      <c r="E235" s="18"/>
      <c r="F235" s="41"/>
      <c r="G235" s="10"/>
    </row>
    <row r="236" customFormat="false" ht="18" hidden="false" customHeight="true" outlineLevel="0" collapsed="false">
      <c r="B236" s="42"/>
      <c r="C236" s="13"/>
      <c r="D236" s="43"/>
      <c r="E236" s="17"/>
      <c r="F236" s="43"/>
      <c r="G236" s="13"/>
    </row>
    <row r="237" customFormat="false" ht="18" hidden="false" customHeight="true" outlineLevel="0" collapsed="false">
      <c r="B237" s="40"/>
      <c r="C237" s="10"/>
      <c r="D237" s="41"/>
      <c r="E237" s="18"/>
      <c r="F237" s="41"/>
      <c r="G237" s="10"/>
    </row>
    <row r="238" customFormat="false" ht="18" hidden="false" customHeight="true" outlineLevel="0" collapsed="false">
      <c r="B238" s="42"/>
      <c r="C238" s="13"/>
      <c r="D238" s="43"/>
      <c r="E238" s="17"/>
      <c r="F238" s="43"/>
      <c r="G238" s="13"/>
    </row>
    <row r="239" customFormat="false" ht="18" hidden="false" customHeight="true" outlineLevel="0" collapsed="false">
      <c r="B239" s="40"/>
      <c r="C239" s="10"/>
      <c r="D239" s="41"/>
      <c r="E239" s="18"/>
      <c r="F239" s="41"/>
      <c r="G239" s="10"/>
    </row>
    <row r="240" customFormat="false" ht="18" hidden="false" customHeight="true" outlineLevel="0" collapsed="false">
      <c r="B240" s="42"/>
      <c r="C240" s="13"/>
      <c r="D240" s="43"/>
      <c r="E240" s="17"/>
      <c r="F240" s="43"/>
      <c r="G240" s="13"/>
    </row>
    <row r="241" customFormat="false" ht="18" hidden="false" customHeight="true" outlineLevel="0" collapsed="false">
      <c r="B241" s="40"/>
      <c r="C241" s="10"/>
      <c r="D241" s="41"/>
      <c r="E241" s="18"/>
      <c r="F241" s="41"/>
      <c r="G241" s="10"/>
    </row>
    <row r="242" customFormat="false" ht="18" hidden="false" customHeight="true" outlineLevel="0" collapsed="false">
      <c r="B242" s="42"/>
      <c r="C242" s="13"/>
      <c r="D242" s="43"/>
      <c r="E242" s="17"/>
      <c r="F242" s="43"/>
      <c r="G242" s="13"/>
    </row>
    <row r="243" customFormat="false" ht="18" hidden="false" customHeight="true" outlineLevel="0" collapsed="false">
      <c r="B243" s="40"/>
      <c r="C243" s="10"/>
      <c r="D243" s="41"/>
      <c r="E243" s="18"/>
      <c r="F243" s="41"/>
      <c r="G243" s="10"/>
    </row>
    <row r="244" customFormat="false" ht="18" hidden="false" customHeight="true" outlineLevel="0" collapsed="false">
      <c r="B244" s="42"/>
      <c r="C244" s="13"/>
      <c r="D244" s="43"/>
      <c r="E244" s="17"/>
      <c r="F244" s="43"/>
      <c r="G244" s="13"/>
    </row>
    <row r="245" customFormat="false" ht="18" hidden="false" customHeight="true" outlineLevel="0" collapsed="false">
      <c r="B245" s="40"/>
      <c r="C245" s="10"/>
      <c r="D245" s="41"/>
      <c r="E245" s="18"/>
      <c r="F245" s="41"/>
      <c r="G245" s="10"/>
    </row>
    <row r="246" customFormat="false" ht="18" hidden="false" customHeight="true" outlineLevel="0" collapsed="false">
      <c r="B246" s="42"/>
      <c r="C246" s="13"/>
      <c r="D246" s="43"/>
      <c r="E246" s="17"/>
      <c r="F246" s="43"/>
      <c r="G246" s="13"/>
    </row>
    <row r="247" customFormat="false" ht="18" hidden="false" customHeight="true" outlineLevel="0" collapsed="false">
      <c r="B247" s="40"/>
      <c r="C247" s="10"/>
      <c r="D247" s="41"/>
      <c r="E247" s="18"/>
      <c r="F247" s="41"/>
      <c r="G247" s="10"/>
    </row>
    <row r="248" customFormat="false" ht="18" hidden="false" customHeight="true" outlineLevel="0" collapsed="false">
      <c r="B248" s="42"/>
      <c r="C248" s="13"/>
      <c r="D248" s="43"/>
      <c r="E248" s="17"/>
      <c r="F248" s="43"/>
      <c r="G248" s="13"/>
    </row>
    <row r="249" customFormat="false" ht="18" hidden="false" customHeight="true" outlineLevel="0" collapsed="false">
      <c r="B249" s="40"/>
      <c r="C249" s="10"/>
      <c r="D249" s="41"/>
      <c r="E249" s="18"/>
      <c r="F249" s="41"/>
      <c r="G249" s="10"/>
    </row>
    <row r="250" customFormat="false" ht="18" hidden="false" customHeight="true" outlineLevel="0" collapsed="false">
      <c r="B250" s="42"/>
      <c r="C250" s="13"/>
      <c r="D250" s="43"/>
      <c r="E250" s="17"/>
      <c r="F250" s="43"/>
      <c r="G250" s="13"/>
    </row>
    <row r="251" customFormat="false" ht="18" hidden="false" customHeight="true" outlineLevel="0" collapsed="false">
      <c r="B251" s="40"/>
      <c r="C251" s="10"/>
      <c r="D251" s="41"/>
      <c r="E251" s="18"/>
      <c r="F251" s="41"/>
      <c r="G251" s="10"/>
    </row>
    <row r="252" customFormat="false" ht="18" hidden="false" customHeight="true" outlineLevel="0" collapsed="false">
      <c r="B252" s="42"/>
      <c r="C252" s="13"/>
      <c r="D252" s="43"/>
      <c r="E252" s="17"/>
      <c r="F252" s="43"/>
      <c r="G252" s="13"/>
    </row>
    <row r="253" customFormat="false" ht="18" hidden="false" customHeight="true" outlineLevel="0" collapsed="false">
      <c r="B253" s="40"/>
      <c r="C253" s="10"/>
      <c r="D253" s="41"/>
      <c r="E253" s="18"/>
      <c r="F253" s="41"/>
      <c r="G253" s="10"/>
    </row>
    <row r="254" customFormat="false" ht="18" hidden="false" customHeight="true" outlineLevel="0" collapsed="false">
      <c r="B254" s="42"/>
      <c r="C254" s="13"/>
      <c r="D254" s="43"/>
      <c r="E254" s="17"/>
      <c r="F254" s="43"/>
      <c r="G254" s="13"/>
    </row>
    <row r="255" customFormat="false" ht="18" hidden="false" customHeight="true" outlineLevel="0" collapsed="false">
      <c r="B255" s="40"/>
      <c r="C255" s="10"/>
      <c r="D255" s="41"/>
      <c r="E255" s="18"/>
      <c r="F255" s="41"/>
      <c r="G255" s="10"/>
    </row>
    <row r="256" customFormat="false" ht="18" hidden="false" customHeight="true" outlineLevel="0" collapsed="false">
      <c r="B256" s="42"/>
      <c r="C256" s="13"/>
      <c r="D256" s="43"/>
      <c r="E256" s="17"/>
      <c r="F256" s="43"/>
      <c r="G256" s="13"/>
    </row>
    <row r="257" customFormat="false" ht="18" hidden="false" customHeight="true" outlineLevel="0" collapsed="false">
      <c r="B257" s="40"/>
      <c r="C257" s="10"/>
      <c r="D257" s="41"/>
      <c r="E257" s="18"/>
      <c r="F257" s="41"/>
      <c r="G257" s="10"/>
    </row>
    <row r="258" customFormat="false" ht="18" hidden="false" customHeight="true" outlineLevel="0" collapsed="false">
      <c r="B258" s="42"/>
      <c r="C258" s="13"/>
      <c r="D258" s="43"/>
      <c r="E258" s="17"/>
      <c r="F258" s="43"/>
      <c r="G258" s="13"/>
    </row>
    <row r="259" customFormat="false" ht="18" hidden="false" customHeight="true" outlineLevel="0" collapsed="false">
      <c r="B259" s="40"/>
      <c r="C259" s="10"/>
      <c r="D259" s="41"/>
      <c r="E259" s="18"/>
      <c r="F259" s="41"/>
      <c r="G259" s="10"/>
    </row>
    <row r="260" customFormat="false" ht="18" hidden="false" customHeight="true" outlineLevel="0" collapsed="false">
      <c r="B260" s="42"/>
      <c r="C260" s="13"/>
      <c r="D260" s="43"/>
      <c r="E260" s="17"/>
      <c r="F260" s="43"/>
      <c r="G260" s="13"/>
    </row>
    <row r="261" customFormat="false" ht="18" hidden="false" customHeight="true" outlineLevel="0" collapsed="false">
      <c r="B261" s="40"/>
      <c r="C261" s="10"/>
      <c r="D261" s="41"/>
      <c r="E261" s="18"/>
      <c r="F261" s="41"/>
      <c r="G261" s="10"/>
    </row>
    <row r="262" customFormat="false" ht="18" hidden="false" customHeight="true" outlineLevel="0" collapsed="false">
      <c r="B262" s="42"/>
      <c r="C262" s="13"/>
      <c r="D262" s="43"/>
      <c r="E262" s="17"/>
      <c r="F262" s="43"/>
      <c r="G262" s="13"/>
    </row>
    <row r="263" customFormat="false" ht="18" hidden="false" customHeight="true" outlineLevel="0" collapsed="false">
      <c r="B263" s="40"/>
      <c r="C263" s="10"/>
      <c r="D263" s="41"/>
      <c r="E263" s="18"/>
      <c r="F263" s="41"/>
      <c r="G263" s="10"/>
    </row>
    <row r="264" customFormat="false" ht="18" hidden="false" customHeight="true" outlineLevel="0" collapsed="false">
      <c r="B264" s="42"/>
      <c r="C264" s="13"/>
      <c r="D264" s="43"/>
      <c r="E264" s="17"/>
      <c r="F264" s="43"/>
      <c r="G264" s="13"/>
    </row>
    <row r="265" customFormat="false" ht="18" hidden="false" customHeight="true" outlineLevel="0" collapsed="false">
      <c r="B265" s="40"/>
      <c r="C265" s="10"/>
      <c r="D265" s="41"/>
      <c r="E265" s="18"/>
      <c r="F265" s="41"/>
      <c r="G265" s="10"/>
    </row>
    <row r="266" customFormat="false" ht="18" hidden="false" customHeight="true" outlineLevel="0" collapsed="false">
      <c r="B266" s="42"/>
      <c r="C266" s="13"/>
      <c r="D266" s="43"/>
      <c r="E266" s="17"/>
      <c r="F266" s="43"/>
      <c r="G266" s="13"/>
    </row>
    <row r="267" customFormat="false" ht="18" hidden="false" customHeight="true" outlineLevel="0" collapsed="false">
      <c r="B267" s="40"/>
      <c r="C267" s="10"/>
      <c r="D267" s="41"/>
      <c r="E267" s="18"/>
      <c r="F267" s="41"/>
      <c r="G267" s="10"/>
    </row>
    <row r="268" customFormat="false" ht="18" hidden="false" customHeight="true" outlineLevel="0" collapsed="false">
      <c r="B268" s="42"/>
      <c r="C268" s="13"/>
      <c r="D268" s="43"/>
      <c r="E268" s="17"/>
      <c r="F268" s="43"/>
      <c r="G268" s="13"/>
    </row>
    <row r="269" customFormat="false" ht="18" hidden="false" customHeight="true" outlineLevel="0" collapsed="false">
      <c r="B269" s="40"/>
      <c r="C269" s="10"/>
      <c r="D269" s="41"/>
      <c r="E269" s="18"/>
      <c r="F269" s="41"/>
      <c r="G269" s="10"/>
    </row>
    <row r="270" customFormat="false" ht="18" hidden="false" customHeight="true" outlineLevel="0" collapsed="false">
      <c r="B270" s="42"/>
      <c r="C270" s="13"/>
      <c r="D270" s="43"/>
      <c r="E270" s="17"/>
      <c r="F270" s="43"/>
      <c r="G270" s="13"/>
    </row>
    <row r="271" customFormat="false" ht="18" hidden="false" customHeight="true" outlineLevel="0" collapsed="false">
      <c r="B271" s="40"/>
      <c r="C271" s="10"/>
      <c r="D271" s="41"/>
      <c r="E271" s="18"/>
      <c r="F271" s="41"/>
      <c r="G271" s="10"/>
    </row>
    <row r="272" customFormat="false" ht="18" hidden="false" customHeight="true" outlineLevel="0" collapsed="false">
      <c r="B272" s="42"/>
      <c r="C272" s="13"/>
      <c r="D272" s="43"/>
      <c r="E272" s="17"/>
      <c r="F272" s="43"/>
      <c r="G272" s="13"/>
    </row>
    <row r="273" customFormat="false" ht="18" hidden="false" customHeight="true" outlineLevel="0" collapsed="false">
      <c r="B273" s="40"/>
      <c r="C273" s="10"/>
      <c r="D273" s="41"/>
      <c r="E273" s="18"/>
      <c r="F273" s="41"/>
      <c r="G273" s="10"/>
    </row>
    <row r="274" customFormat="false" ht="18" hidden="false" customHeight="true" outlineLevel="0" collapsed="false">
      <c r="B274" s="42"/>
      <c r="C274" s="13"/>
      <c r="D274" s="43"/>
      <c r="E274" s="17"/>
      <c r="F274" s="43"/>
      <c r="G274" s="13"/>
    </row>
    <row r="275" customFormat="false" ht="18" hidden="false" customHeight="true" outlineLevel="0" collapsed="false">
      <c r="B275" s="40"/>
      <c r="C275" s="10"/>
      <c r="D275" s="41"/>
      <c r="E275" s="18"/>
      <c r="F275" s="41"/>
      <c r="G275" s="10"/>
    </row>
    <row r="276" customFormat="false" ht="18" hidden="false" customHeight="true" outlineLevel="0" collapsed="false">
      <c r="B276" s="42"/>
      <c r="C276" s="13"/>
      <c r="D276" s="43"/>
      <c r="E276" s="17"/>
      <c r="F276" s="43"/>
      <c r="G276" s="13"/>
    </row>
    <row r="277" customFormat="false" ht="18" hidden="false" customHeight="true" outlineLevel="0" collapsed="false">
      <c r="B277" s="40"/>
      <c r="C277" s="10"/>
      <c r="D277" s="41"/>
      <c r="E277" s="18"/>
      <c r="F277" s="41"/>
      <c r="G277" s="10"/>
    </row>
    <row r="278" customFormat="false" ht="18" hidden="false" customHeight="true" outlineLevel="0" collapsed="false">
      <c r="B278" s="42"/>
      <c r="C278" s="13"/>
      <c r="D278" s="43"/>
      <c r="E278" s="17"/>
      <c r="F278" s="43"/>
      <c r="G278" s="13"/>
    </row>
    <row r="279" customFormat="false" ht="18" hidden="false" customHeight="true" outlineLevel="0" collapsed="false">
      <c r="B279" s="40"/>
      <c r="C279" s="10"/>
      <c r="D279" s="41"/>
      <c r="E279" s="18"/>
      <c r="F279" s="41"/>
      <c r="G279" s="10"/>
    </row>
    <row r="280" customFormat="false" ht="18" hidden="false" customHeight="true" outlineLevel="0" collapsed="false">
      <c r="B280" s="42"/>
      <c r="C280" s="13"/>
      <c r="D280" s="43"/>
      <c r="E280" s="17"/>
      <c r="F280" s="43"/>
      <c r="G280" s="13"/>
    </row>
    <row r="281" customFormat="false" ht="18" hidden="false" customHeight="true" outlineLevel="0" collapsed="false">
      <c r="B281" s="40"/>
      <c r="C281" s="10"/>
      <c r="D281" s="41"/>
      <c r="E281" s="18"/>
      <c r="F281" s="41"/>
      <c r="G281" s="10"/>
    </row>
    <row r="282" customFormat="false" ht="18" hidden="false" customHeight="true" outlineLevel="0" collapsed="false">
      <c r="B282" s="42"/>
      <c r="C282" s="13"/>
      <c r="D282" s="43"/>
      <c r="E282" s="17"/>
      <c r="F282" s="43"/>
      <c r="G282" s="13"/>
    </row>
    <row r="283" customFormat="false" ht="18" hidden="false" customHeight="true" outlineLevel="0" collapsed="false">
      <c r="B283" s="40"/>
      <c r="C283" s="10"/>
      <c r="D283" s="41"/>
      <c r="E283" s="18"/>
      <c r="F283" s="41"/>
      <c r="G283" s="10"/>
    </row>
    <row r="284" customFormat="false" ht="18" hidden="false" customHeight="true" outlineLevel="0" collapsed="false">
      <c r="B284" s="42"/>
      <c r="C284" s="13"/>
      <c r="D284" s="43"/>
      <c r="E284" s="17"/>
      <c r="F284" s="43"/>
      <c r="G284" s="13"/>
    </row>
    <row r="285" customFormat="false" ht="18" hidden="false" customHeight="true" outlineLevel="0" collapsed="false">
      <c r="B285" s="40"/>
      <c r="C285" s="10"/>
      <c r="D285" s="41"/>
      <c r="E285" s="18"/>
      <c r="F285" s="41"/>
      <c r="G285" s="10"/>
    </row>
    <row r="286" customFormat="false" ht="18" hidden="false" customHeight="true" outlineLevel="0" collapsed="false">
      <c r="B286" s="42"/>
      <c r="C286" s="13"/>
      <c r="D286" s="43"/>
      <c r="E286" s="17"/>
      <c r="F286" s="43"/>
      <c r="G286" s="13"/>
    </row>
    <row r="287" customFormat="false" ht="18" hidden="false" customHeight="true" outlineLevel="0" collapsed="false">
      <c r="B287" s="40"/>
      <c r="C287" s="10"/>
      <c r="D287" s="41"/>
      <c r="E287" s="18"/>
      <c r="F287" s="41"/>
      <c r="G287" s="10"/>
    </row>
    <row r="288" customFormat="false" ht="18" hidden="false" customHeight="true" outlineLevel="0" collapsed="false">
      <c r="B288" s="42"/>
      <c r="C288" s="13"/>
      <c r="D288" s="43"/>
      <c r="E288" s="17"/>
      <c r="F288" s="43"/>
      <c r="G288" s="13"/>
    </row>
    <row r="289" customFormat="false" ht="18" hidden="false" customHeight="true" outlineLevel="0" collapsed="false">
      <c r="B289" s="40"/>
      <c r="C289" s="10"/>
      <c r="D289" s="41"/>
      <c r="E289" s="18"/>
      <c r="F289" s="41"/>
      <c r="G289" s="10"/>
    </row>
    <row r="290" customFormat="false" ht="18" hidden="false" customHeight="true" outlineLevel="0" collapsed="false">
      <c r="B290" s="42"/>
      <c r="C290" s="13"/>
      <c r="D290" s="43"/>
      <c r="E290" s="17"/>
      <c r="F290" s="43"/>
      <c r="G290" s="13"/>
    </row>
    <row r="291" customFormat="false" ht="18" hidden="false" customHeight="true" outlineLevel="0" collapsed="false">
      <c r="B291" s="40"/>
      <c r="C291" s="10"/>
      <c r="D291" s="41"/>
      <c r="E291" s="18"/>
      <c r="F291" s="41"/>
      <c r="G291" s="10"/>
    </row>
    <row r="292" customFormat="false" ht="18" hidden="false" customHeight="true" outlineLevel="0" collapsed="false">
      <c r="B292" s="42"/>
      <c r="C292" s="13"/>
      <c r="D292" s="43"/>
      <c r="E292" s="17"/>
      <c r="F292" s="43"/>
      <c r="G292" s="13"/>
    </row>
    <row r="293" customFormat="false" ht="18" hidden="false" customHeight="true" outlineLevel="0" collapsed="false">
      <c r="B293" s="40"/>
      <c r="C293" s="10"/>
      <c r="D293" s="41"/>
      <c r="E293" s="18"/>
      <c r="F293" s="41"/>
      <c r="G293" s="10"/>
    </row>
    <row r="294" customFormat="false" ht="18" hidden="false" customHeight="true" outlineLevel="0" collapsed="false">
      <c r="B294" s="42"/>
      <c r="C294" s="13"/>
      <c r="D294" s="43"/>
      <c r="E294" s="17"/>
      <c r="F294" s="43"/>
      <c r="G294" s="13"/>
    </row>
    <row r="295" customFormat="false" ht="18" hidden="false" customHeight="true" outlineLevel="0" collapsed="false">
      <c r="B295" s="40"/>
      <c r="C295" s="10"/>
      <c r="D295" s="41"/>
      <c r="E295" s="18"/>
      <c r="F295" s="41"/>
      <c r="G295" s="10"/>
    </row>
    <row r="296" customFormat="false" ht="18" hidden="false" customHeight="true" outlineLevel="0" collapsed="false">
      <c r="B296" s="42"/>
      <c r="C296" s="13"/>
      <c r="D296" s="43"/>
      <c r="E296" s="17"/>
      <c r="F296" s="43"/>
      <c r="G296" s="13"/>
    </row>
    <row r="297" customFormat="false" ht="18" hidden="false" customHeight="true" outlineLevel="0" collapsed="false">
      <c r="B297" s="40"/>
      <c r="C297" s="10"/>
      <c r="D297" s="41"/>
      <c r="E297" s="18"/>
      <c r="F297" s="41"/>
      <c r="G297" s="10"/>
    </row>
    <row r="298" customFormat="false" ht="18" hidden="false" customHeight="true" outlineLevel="0" collapsed="false">
      <c r="B298" s="42"/>
      <c r="C298" s="13"/>
      <c r="D298" s="43"/>
      <c r="E298" s="17"/>
      <c r="F298" s="43"/>
      <c r="G298" s="13"/>
    </row>
    <row r="299" customFormat="false" ht="18" hidden="false" customHeight="true" outlineLevel="0" collapsed="false">
      <c r="B299" s="40"/>
      <c r="C299" s="10"/>
      <c r="D299" s="41"/>
      <c r="E299" s="18"/>
      <c r="F299" s="41"/>
      <c r="G299" s="10"/>
    </row>
    <row r="300" customFormat="false" ht="18" hidden="false" customHeight="true" outlineLevel="0" collapsed="false">
      <c r="B300" s="42"/>
      <c r="C300" s="13"/>
      <c r="D300" s="43"/>
      <c r="E300" s="17"/>
      <c r="F300" s="43"/>
      <c r="G300" s="13"/>
    </row>
    <row r="301" customFormat="false" ht="18" hidden="false" customHeight="true" outlineLevel="0" collapsed="false">
      <c r="B301" s="40"/>
      <c r="C301" s="10"/>
      <c r="D301" s="41"/>
      <c r="E301" s="18"/>
      <c r="F301" s="41"/>
      <c r="G301" s="10"/>
    </row>
    <row r="302" customFormat="false" ht="18" hidden="false" customHeight="true" outlineLevel="0" collapsed="false">
      <c r="B302" s="42"/>
      <c r="C302" s="13"/>
      <c r="D302" s="43"/>
      <c r="E302" s="17"/>
      <c r="F302" s="43"/>
      <c r="G302" s="13"/>
    </row>
    <row r="303" customFormat="false" ht="18" hidden="false" customHeight="true" outlineLevel="0" collapsed="false">
      <c r="B303" s="40"/>
      <c r="C303" s="10"/>
      <c r="D303" s="41"/>
      <c r="E303" s="18"/>
      <c r="F303" s="41"/>
      <c r="G303" s="10"/>
    </row>
    <row r="304" customFormat="false" ht="18" hidden="false" customHeight="true" outlineLevel="0" collapsed="false">
      <c r="B304" s="42"/>
      <c r="C304" s="13"/>
      <c r="D304" s="43"/>
      <c r="E304" s="17"/>
      <c r="F304" s="43"/>
      <c r="G304" s="13"/>
    </row>
    <row r="305" customFormat="false" ht="18" hidden="false" customHeight="true" outlineLevel="0" collapsed="false">
      <c r="B305" s="40"/>
      <c r="C305" s="10"/>
      <c r="D305" s="41"/>
      <c r="E305" s="18"/>
      <c r="F305" s="41"/>
      <c r="G305" s="10"/>
    </row>
    <row r="306" customFormat="false" ht="18" hidden="false" customHeight="true" outlineLevel="0" collapsed="false">
      <c r="B306" s="42"/>
      <c r="C306" s="13"/>
      <c r="D306" s="43"/>
      <c r="E306" s="17"/>
      <c r="F306" s="43"/>
      <c r="G306" s="13"/>
    </row>
    <row r="307" customFormat="false" ht="18" hidden="false" customHeight="true" outlineLevel="0" collapsed="false">
      <c r="B307" s="40"/>
      <c r="C307" s="10"/>
      <c r="D307" s="41"/>
      <c r="E307" s="18"/>
      <c r="F307" s="41"/>
      <c r="G307" s="10"/>
    </row>
    <row r="308" customFormat="false" ht="18" hidden="false" customHeight="true" outlineLevel="0" collapsed="false">
      <c r="B308" s="42"/>
      <c r="C308" s="13"/>
      <c r="D308" s="43"/>
      <c r="E308" s="17"/>
      <c r="F308" s="43"/>
      <c r="G308" s="13"/>
    </row>
    <row r="309" customFormat="false" ht="18" hidden="false" customHeight="true" outlineLevel="0" collapsed="false">
      <c r="B309" s="40"/>
      <c r="C309" s="10"/>
      <c r="D309" s="41"/>
      <c r="E309" s="18"/>
      <c r="F309" s="41"/>
      <c r="G309" s="10"/>
    </row>
    <row r="310" customFormat="false" ht="18" hidden="false" customHeight="true" outlineLevel="0" collapsed="false">
      <c r="B310" s="42"/>
      <c r="C310" s="13"/>
      <c r="D310" s="43"/>
      <c r="E310" s="17"/>
      <c r="F310" s="43"/>
      <c r="G310" s="13"/>
    </row>
    <row r="311" customFormat="false" ht="18" hidden="false" customHeight="true" outlineLevel="0" collapsed="false">
      <c r="B311" s="40"/>
      <c r="C311" s="10"/>
      <c r="D311" s="41"/>
      <c r="E311" s="18"/>
      <c r="F311" s="41"/>
      <c r="G311" s="10"/>
    </row>
    <row r="312" customFormat="false" ht="18" hidden="false" customHeight="true" outlineLevel="0" collapsed="false">
      <c r="B312" s="42"/>
      <c r="C312" s="13"/>
      <c r="D312" s="43"/>
      <c r="E312" s="17"/>
      <c r="F312" s="43"/>
      <c r="G312" s="13"/>
    </row>
    <row r="313" customFormat="false" ht="18" hidden="false" customHeight="true" outlineLevel="0" collapsed="false">
      <c r="B313" s="40"/>
      <c r="C313" s="10"/>
      <c r="D313" s="41"/>
      <c r="E313" s="18"/>
      <c r="F313" s="41"/>
      <c r="G313" s="10"/>
    </row>
    <row r="314" customFormat="false" ht="18" hidden="false" customHeight="true" outlineLevel="0" collapsed="false">
      <c r="B314" s="42"/>
      <c r="C314" s="13"/>
      <c r="D314" s="43"/>
      <c r="E314" s="17"/>
      <c r="F314" s="43"/>
      <c r="G314" s="13"/>
    </row>
    <row r="315" customFormat="false" ht="18" hidden="false" customHeight="true" outlineLevel="0" collapsed="false">
      <c r="B315" s="40"/>
      <c r="C315" s="10"/>
      <c r="D315" s="41"/>
      <c r="E315" s="18"/>
      <c r="F315" s="41"/>
      <c r="G315" s="10"/>
    </row>
    <row r="316" customFormat="false" ht="18" hidden="false" customHeight="true" outlineLevel="0" collapsed="false">
      <c r="B316" s="42"/>
      <c r="C316" s="13"/>
      <c r="D316" s="43"/>
      <c r="E316" s="17"/>
      <c r="F316" s="43"/>
      <c r="G316" s="13"/>
    </row>
    <row r="317" customFormat="false" ht="18" hidden="false" customHeight="true" outlineLevel="0" collapsed="false">
      <c r="B317" s="40"/>
      <c r="C317" s="10"/>
      <c r="D317" s="41"/>
      <c r="E317" s="18"/>
      <c r="F317" s="41"/>
      <c r="G317" s="10"/>
    </row>
    <row r="318" customFormat="false" ht="18" hidden="false" customHeight="true" outlineLevel="0" collapsed="false">
      <c r="B318" s="42"/>
      <c r="C318" s="13"/>
      <c r="D318" s="43"/>
      <c r="E318" s="17"/>
      <c r="F318" s="43"/>
      <c r="G318" s="13"/>
    </row>
    <row r="319" customFormat="false" ht="18" hidden="false" customHeight="true" outlineLevel="0" collapsed="false">
      <c r="B319" s="40"/>
      <c r="C319" s="10"/>
      <c r="D319" s="41"/>
      <c r="E319" s="18"/>
      <c r="F319" s="41"/>
      <c r="G319" s="10"/>
    </row>
    <row r="320" customFormat="false" ht="18" hidden="false" customHeight="true" outlineLevel="0" collapsed="false">
      <c r="B320" s="42"/>
      <c r="C320" s="13"/>
      <c r="D320" s="43"/>
      <c r="E320" s="17"/>
      <c r="F320" s="43"/>
      <c r="G320" s="13"/>
    </row>
    <row r="321" customFormat="false" ht="18" hidden="false" customHeight="true" outlineLevel="0" collapsed="false">
      <c r="B321" s="40"/>
      <c r="C321" s="10"/>
      <c r="D321" s="41"/>
      <c r="E321" s="18"/>
      <c r="F321" s="41"/>
      <c r="G321" s="10"/>
    </row>
    <row r="322" customFormat="false" ht="18" hidden="false" customHeight="true" outlineLevel="0" collapsed="false">
      <c r="B322" s="42"/>
      <c r="C322" s="13"/>
      <c r="D322" s="43"/>
      <c r="E322" s="17"/>
      <c r="F322" s="43"/>
      <c r="G322" s="13"/>
    </row>
    <row r="323" customFormat="false" ht="18" hidden="false" customHeight="true" outlineLevel="0" collapsed="false">
      <c r="B323" s="40"/>
      <c r="C323" s="10"/>
      <c r="D323" s="41"/>
      <c r="E323" s="18"/>
      <c r="F323" s="41"/>
      <c r="G323" s="10"/>
    </row>
    <row r="324" customFormat="false" ht="18" hidden="false" customHeight="true" outlineLevel="0" collapsed="false">
      <c r="B324" s="42"/>
      <c r="C324" s="13"/>
      <c r="D324" s="43"/>
      <c r="E324" s="17"/>
      <c r="F324" s="43"/>
      <c r="G324" s="13"/>
    </row>
    <row r="325" customFormat="false" ht="18" hidden="false" customHeight="true" outlineLevel="0" collapsed="false">
      <c r="B325" s="40"/>
      <c r="C325" s="10"/>
      <c r="D325" s="41"/>
      <c r="E325" s="18"/>
      <c r="F325" s="41"/>
      <c r="G325" s="10"/>
    </row>
    <row r="326" customFormat="false" ht="18" hidden="false" customHeight="true" outlineLevel="0" collapsed="false">
      <c r="B326" s="42"/>
      <c r="C326" s="13"/>
      <c r="D326" s="43"/>
      <c r="E326" s="17"/>
      <c r="F326" s="43"/>
      <c r="G326" s="13"/>
    </row>
    <row r="327" customFormat="false" ht="18" hidden="false" customHeight="true" outlineLevel="0" collapsed="false">
      <c r="B327" s="40"/>
      <c r="C327" s="10"/>
      <c r="D327" s="41"/>
      <c r="E327" s="18"/>
      <c r="F327" s="41"/>
      <c r="G327" s="10"/>
    </row>
    <row r="328" customFormat="false" ht="18" hidden="false" customHeight="true" outlineLevel="0" collapsed="false">
      <c r="B328" s="42"/>
      <c r="C328" s="13"/>
      <c r="D328" s="43"/>
      <c r="E328" s="17"/>
      <c r="F328" s="43"/>
      <c r="G328" s="13"/>
    </row>
    <row r="329" customFormat="false" ht="18" hidden="false" customHeight="true" outlineLevel="0" collapsed="false">
      <c r="B329" s="40"/>
      <c r="C329" s="10"/>
      <c r="D329" s="41"/>
      <c r="E329" s="18"/>
      <c r="F329" s="41"/>
      <c r="G329" s="10"/>
    </row>
    <row r="330" customFormat="false" ht="18" hidden="false" customHeight="true" outlineLevel="0" collapsed="false">
      <c r="B330" s="42"/>
      <c r="C330" s="13"/>
      <c r="D330" s="43"/>
      <c r="E330" s="17"/>
      <c r="F330" s="43"/>
      <c r="G330" s="13"/>
    </row>
    <row r="331" customFormat="false" ht="18" hidden="false" customHeight="true" outlineLevel="0" collapsed="false">
      <c r="B331" s="40"/>
      <c r="C331" s="10"/>
      <c r="D331" s="41"/>
      <c r="E331" s="18"/>
      <c r="F331" s="41"/>
      <c r="G331" s="10"/>
    </row>
    <row r="332" customFormat="false" ht="18" hidden="false" customHeight="true" outlineLevel="0" collapsed="false">
      <c r="B332" s="42"/>
      <c r="C332" s="13"/>
      <c r="D332" s="43"/>
      <c r="E332" s="17"/>
      <c r="F332" s="43"/>
      <c r="G332" s="13"/>
    </row>
    <row r="333" customFormat="false" ht="18" hidden="false" customHeight="true" outlineLevel="0" collapsed="false">
      <c r="B333" s="40"/>
      <c r="C333" s="10"/>
      <c r="D333" s="41"/>
      <c r="E333" s="18"/>
      <c r="F333" s="41"/>
      <c r="G333" s="10"/>
    </row>
    <row r="334" customFormat="false" ht="18" hidden="false" customHeight="true" outlineLevel="0" collapsed="false">
      <c r="B334" s="42"/>
      <c r="C334" s="13"/>
      <c r="D334" s="43"/>
      <c r="E334" s="17"/>
      <c r="F334" s="43"/>
      <c r="G334" s="13"/>
    </row>
    <row r="335" customFormat="false" ht="18" hidden="false" customHeight="true" outlineLevel="0" collapsed="false">
      <c r="B335" s="40"/>
      <c r="C335" s="10"/>
      <c r="D335" s="41"/>
      <c r="E335" s="18"/>
      <c r="F335" s="41"/>
      <c r="G335" s="10"/>
    </row>
    <row r="336" customFormat="false" ht="18" hidden="false" customHeight="true" outlineLevel="0" collapsed="false">
      <c r="B336" s="42"/>
      <c r="C336" s="13"/>
      <c r="D336" s="43"/>
      <c r="E336" s="17"/>
      <c r="F336" s="43"/>
      <c r="G336" s="13"/>
    </row>
    <row r="337" customFormat="false" ht="18" hidden="false" customHeight="true" outlineLevel="0" collapsed="false">
      <c r="B337" s="40"/>
      <c r="C337" s="10"/>
      <c r="D337" s="41"/>
      <c r="E337" s="18"/>
      <c r="F337" s="41"/>
      <c r="G337" s="10"/>
    </row>
    <row r="338" customFormat="false" ht="18" hidden="false" customHeight="true" outlineLevel="0" collapsed="false">
      <c r="B338" s="42"/>
      <c r="C338" s="13"/>
      <c r="D338" s="43"/>
      <c r="E338" s="17"/>
      <c r="F338" s="43"/>
      <c r="G338" s="13"/>
    </row>
    <row r="339" customFormat="false" ht="18" hidden="false" customHeight="true" outlineLevel="0" collapsed="false">
      <c r="B339" s="40"/>
      <c r="C339" s="10"/>
      <c r="D339" s="41"/>
      <c r="E339" s="18"/>
      <c r="F339" s="41"/>
      <c r="G339" s="10"/>
    </row>
    <row r="340" customFormat="false" ht="18" hidden="false" customHeight="true" outlineLevel="0" collapsed="false">
      <c r="B340" s="42"/>
      <c r="C340" s="13"/>
      <c r="D340" s="43"/>
      <c r="E340" s="17"/>
      <c r="F340" s="43"/>
      <c r="G340" s="13"/>
    </row>
    <row r="341" customFormat="false" ht="18" hidden="false" customHeight="true" outlineLevel="0" collapsed="false">
      <c r="B341" s="40"/>
      <c r="C341" s="10"/>
      <c r="D341" s="41"/>
      <c r="E341" s="18"/>
      <c r="F341" s="41"/>
      <c r="G341" s="10"/>
    </row>
    <row r="342" customFormat="false" ht="18" hidden="false" customHeight="true" outlineLevel="0" collapsed="false">
      <c r="B342" s="42"/>
      <c r="C342" s="13"/>
      <c r="D342" s="43"/>
      <c r="E342" s="17"/>
      <c r="F342" s="43"/>
      <c r="G342" s="13"/>
    </row>
    <row r="343" customFormat="false" ht="18" hidden="false" customHeight="true" outlineLevel="0" collapsed="false">
      <c r="B343" s="40"/>
      <c r="C343" s="10"/>
      <c r="D343" s="41"/>
      <c r="E343" s="18"/>
      <c r="F343" s="41"/>
      <c r="G343" s="10"/>
    </row>
    <row r="344" customFormat="false" ht="18" hidden="false" customHeight="true" outlineLevel="0" collapsed="false">
      <c r="B344" s="42"/>
      <c r="C344" s="13"/>
      <c r="D344" s="43"/>
      <c r="E344" s="17"/>
      <c r="F344" s="43"/>
      <c r="G344" s="13"/>
    </row>
    <row r="345" customFormat="false" ht="18" hidden="false" customHeight="true" outlineLevel="0" collapsed="false">
      <c r="B345" s="40"/>
      <c r="C345" s="10"/>
      <c r="D345" s="41"/>
      <c r="E345" s="18"/>
      <c r="F345" s="41"/>
      <c r="G345" s="10"/>
    </row>
    <row r="346" customFormat="false" ht="18" hidden="false" customHeight="true" outlineLevel="0" collapsed="false">
      <c r="B346" s="42"/>
      <c r="C346" s="13"/>
      <c r="D346" s="43"/>
      <c r="E346" s="17"/>
      <c r="F346" s="43"/>
      <c r="G346" s="13"/>
    </row>
    <row r="347" customFormat="false" ht="18" hidden="false" customHeight="true" outlineLevel="0" collapsed="false">
      <c r="B347" s="40"/>
      <c r="C347" s="10"/>
      <c r="D347" s="41"/>
      <c r="E347" s="18"/>
      <c r="F347" s="41"/>
      <c r="G347" s="10"/>
    </row>
    <row r="348" customFormat="false" ht="18" hidden="false" customHeight="true" outlineLevel="0" collapsed="false">
      <c r="B348" s="42"/>
      <c r="C348" s="13"/>
      <c r="D348" s="43"/>
      <c r="E348" s="17"/>
      <c r="F348" s="43"/>
      <c r="G348" s="13"/>
    </row>
    <row r="349" customFormat="false" ht="18" hidden="false" customHeight="true" outlineLevel="0" collapsed="false">
      <c r="B349" s="40"/>
      <c r="C349" s="10"/>
      <c r="D349" s="41"/>
      <c r="E349" s="18"/>
      <c r="F349" s="41"/>
      <c r="G349" s="10"/>
    </row>
    <row r="350" customFormat="false" ht="18" hidden="false" customHeight="true" outlineLevel="0" collapsed="false">
      <c r="B350" s="42"/>
      <c r="C350" s="13"/>
      <c r="D350" s="43"/>
      <c r="E350" s="17"/>
      <c r="F350" s="43"/>
      <c r="G350" s="13"/>
    </row>
    <row r="351" customFormat="false" ht="18" hidden="false" customHeight="true" outlineLevel="0" collapsed="false">
      <c r="B351" s="40"/>
      <c r="C351" s="10"/>
      <c r="D351" s="41"/>
      <c r="E351" s="18"/>
      <c r="F351" s="41"/>
      <c r="G351" s="10"/>
    </row>
    <row r="352" customFormat="false" ht="18" hidden="false" customHeight="true" outlineLevel="0" collapsed="false">
      <c r="B352" s="42"/>
      <c r="C352" s="13"/>
      <c r="D352" s="43"/>
      <c r="E352" s="17"/>
      <c r="F352" s="43"/>
      <c r="G352" s="13"/>
    </row>
    <row r="353" customFormat="false" ht="18" hidden="false" customHeight="true" outlineLevel="0" collapsed="false">
      <c r="B353" s="40"/>
      <c r="C353" s="10"/>
      <c r="D353" s="41"/>
      <c r="E353" s="18"/>
      <c r="F353" s="41"/>
      <c r="G353" s="10"/>
    </row>
    <row r="354" customFormat="false" ht="18" hidden="false" customHeight="true" outlineLevel="0" collapsed="false">
      <c r="B354" s="42"/>
      <c r="C354" s="13"/>
      <c r="D354" s="43"/>
      <c r="E354" s="17"/>
      <c r="F354" s="43"/>
      <c r="G354" s="13"/>
    </row>
    <row r="355" customFormat="false" ht="18" hidden="false" customHeight="true" outlineLevel="0" collapsed="false">
      <c r="B355" s="40"/>
      <c r="C355" s="10"/>
      <c r="D355" s="41"/>
      <c r="E355" s="18"/>
      <c r="F355" s="41"/>
      <c r="G355" s="10"/>
    </row>
    <row r="356" customFormat="false" ht="18" hidden="false" customHeight="true" outlineLevel="0" collapsed="false">
      <c r="B356" s="42"/>
      <c r="C356" s="13"/>
      <c r="D356" s="43"/>
      <c r="E356" s="17"/>
      <c r="F356" s="43"/>
      <c r="G356" s="13"/>
    </row>
    <row r="357" customFormat="false" ht="18" hidden="false" customHeight="true" outlineLevel="0" collapsed="false">
      <c r="B357" s="40"/>
      <c r="C357" s="10"/>
      <c r="D357" s="41"/>
      <c r="E357" s="18"/>
      <c r="F357" s="41"/>
      <c r="G357" s="10"/>
    </row>
    <row r="358" customFormat="false" ht="18" hidden="false" customHeight="true" outlineLevel="0" collapsed="false">
      <c r="B358" s="42"/>
      <c r="C358" s="13"/>
      <c r="D358" s="43"/>
      <c r="E358" s="17"/>
      <c r="F358" s="43"/>
      <c r="G358" s="13"/>
    </row>
    <row r="359" customFormat="false" ht="18" hidden="false" customHeight="true" outlineLevel="0" collapsed="false">
      <c r="B359" s="40"/>
      <c r="C359" s="10"/>
      <c r="D359" s="41"/>
      <c r="E359" s="18"/>
      <c r="F359" s="41"/>
      <c r="G359" s="10"/>
    </row>
    <row r="360" customFormat="false" ht="18" hidden="false" customHeight="true" outlineLevel="0" collapsed="false">
      <c r="B360" s="42"/>
      <c r="C360" s="13"/>
      <c r="D360" s="43"/>
      <c r="E360" s="17"/>
      <c r="F360" s="43"/>
      <c r="G360" s="13"/>
    </row>
    <row r="361" customFormat="false" ht="18" hidden="false" customHeight="true" outlineLevel="0" collapsed="false">
      <c r="B361" s="40"/>
      <c r="C361" s="10"/>
      <c r="D361" s="41"/>
      <c r="E361" s="18"/>
      <c r="F361" s="41"/>
      <c r="G361" s="10"/>
    </row>
    <row r="362" customFormat="false" ht="18" hidden="false" customHeight="true" outlineLevel="0" collapsed="false">
      <c r="B362" s="42"/>
      <c r="C362" s="13"/>
      <c r="D362" s="43"/>
      <c r="E362" s="17"/>
      <c r="F362" s="43"/>
      <c r="G362" s="13"/>
    </row>
    <row r="363" customFormat="false" ht="18" hidden="false" customHeight="true" outlineLevel="0" collapsed="false">
      <c r="B363" s="40"/>
      <c r="C363" s="10"/>
      <c r="D363" s="41"/>
      <c r="E363" s="18"/>
      <c r="F363" s="41"/>
      <c r="G363" s="10"/>
    </row>
    <row r="364" customFormat="false" ht="18" hidden="false" customHeight="true" outlineLevel="0" collapsed="false">
      <c r="B364" s="42"/>
      <c r="C364" s="13"/>
      <c r="D364" s="43"/>
      <c r="E364" s="17"/>
      <c r="F364" s="43"/>
      <c r="G364" s="13"/>
    </row>
    <row r="365" customFormat="false" ht="18" hidden="false" customHeight="true" outlineLevel="0" collapsed="false">
      <c r="B365" s="40"/>
      <c r="C365" s="10"/>
      <c r="D365" s="41"/>
      <c r="E365" s="18"/>
      <c r="F365" s="41"/>
      <c r="G365" s="10"/>
    </row>
    <row r="366" customFormat="false" ht="18" hidden="false" customHeight="true" outlineLevel="0" collapsed="false">
      <c r="B366" s="42"/>
      <c r="C366" s="13"/>
      <c r="D366" s="43"/>
      <c r="E366" s="17"/>
      <c r="F366" s="43"/>
      <c r="G366" s="13"/>
    </row>
    <row r="367" customFormat="false" ht="18" hidden="false" customHeight="true" outlineLevel="0" collapsed="false">
      <c r="B367" s="40"/>
      <c r="C367" s="10"/>
      <c r="D367" s="41"/>
      <c r="E367" s="18"/>
      <c r="F367" s="41"/>
      <c r="G367" s="10"/>
    </row>
    <row r="368" customFormat="false" ht="18" hidden="false" customHeight="true" outlineLevel="0" collapsed="false">
      <c r="B368" s="42"/>
      <c r="C368" s="13"/>
      <c r="D368" s="43"/>
      <c r="E368" s="17"/>
      <c r="F368" s="43"/>
      <c r="G368" s="13"/>
    </row>
    <row r="369" customFormat="false" ht="18" hidden="false" customHeight="true" outlineLevel="0" collapsed="false">
      <c r="B369" s="40"/>
      <c r="C369" s="10"/>
      <c r="D369" s="41"/>
      <c r="E369" s="18"/>
      <c r="F369" s="41"/>
      <c r="G369" s="10"/>
    </row>
    <row r="370" customFormat="false" ht="18" hidden="false" customHeight="true" outlineLevel="0" collapsed="false">
      <c r="B370" s="42"/>
      <c r="C370" s="13"/>
      <c r="D370" s="43"/>
      <c r="E370" s="17"/>
      <c r="F370" s="43"/>
      <c r="G370" s="13"/>
    </row>
    <row r="371" customFormat="false" ht="18" hidden="false" customHeight="true" outlineLevel="0" collapsed="false">
      <c r="B371" s="40"/>
      <c r="C371" s="10"/>
      <c r="D371" s="41"/>
      <c r="E371" s="18"/>
      <c r="F371" s="41"/>
      <c r="G371" s="10"/>
    </row>
    <row r="372" customFormat="false" ht="18" hidden="false" customHeight="true" outlineLevel="0" collapsed="false">
      <c r="B372" s="42"/>
      <c r="C372" s="13"/>
      <c r="D372" s="43"/>
      <c r="E372" s="17"/>
      <c r="F372" s="43"/>
      <c r="G372" s="13"/>
    </row>
    <row r="373" customFormat="false" ht="18" hidden="false" customHeight="true" outlineLevel="0" collapsed="false">
      <c r="B373" s="40"/>
      <c r="C373" s="10"/>
      <c r="D373" s="41"/>
      <c r="E373" s="18"/>
      <c r="F373" s="41"/>
      <c r="G373" s="10"/>
    </row>
    <row r="374" customFormat="false" ht="18" hidden="false" customHeight="true" outlineLevel="0" collapsed="false">
      <c r="B374" s="42"/>
      <c r="C374" s="13"/>
      <c r="D374" s="43"/>
      <c r="E374" s="17"/>
      <c r="F374" s="43"/>
      <c r="G374" s="13"/>
    </row>
    <row r="375" customFormat="false" ht="18" hidden="false" customHeight="true" outlineLevel="0" collapsed="false">
      <c r="B375" s="40"/>
      <c r="C375" s="10"/>
      <c r="D375" s="41"/>
      <c r="E375" s="18"/>
      <c r="F375" s="41"/>
      <c r="G375" s="10"/>
    </row>
    <row r="376" customFormat="false" ht="18" hidden="false" customHeight="true" outlineLevel="0" collapsed="false">
      <c r="B376" s="42"/>
      <c r="C376" s="13"/>
      <c r="D376" s="43"/>
      <c r="E376" s="17"/>
      <c r="F376" s="43"/>
      <c r="G376" s="13"/>
    </row>
    <row r="377" customFormat="false" ht="18" hidden="false" customHeight="true" outlineLevel="0" collapsed="false">
      <c r="B377" s="40"/>
      <c r="C377" s="10"/>
      <c r="D377" s="41"/>
      <c r="E377" s="18"/>
      <c r="F377" s="41"/>
      <c r="G377" s="10"/>
    </row>
    <row r="378" customFormat="false" ht="18" hidden="false" customHeight="true" outlineLevel="0" collapsed="false">
      <c r="B378" s="42"/>
      <c r="C378" s="13"/>
      <c r="D378" s="43"/>
      <c r="E378" s="17"/>
      <c r="F378" s="43"/>
      <c r="G378" s="13"/>
    </row>
    <row r="379" customFormat="false" ht="18" hidden="false" customHeight="true" outlineLevel="0" collapsed="false">
      <c r="B379" s="40"/>
      <c r="C379" s="10"/>
      <c r="D379" s="41"/>
      <c r="E379" s="18"/>
      <c r="F379" s="41"/>
      <c r="G379" s="10"/>
    </row>
    <row r="380" customFormat="false" ht="18" hidden="false" customHeight="true" outlineLevel="0" collapsed="false">
      <c r="B380" s="42"/>
      <c r="C380" s="13"/>
      <c r="D380" s="43"/>
      <c r="E380" s="17"/>
      <c r="F380" s="43"/>
      <c r="G380" s="13"/>
    </row>
    <row r="381" customFormat="false" ht="18" hidden="false" customHeight="true" outlineLevel="0" collapsed="false">
      <c r="B381" s="40"/>
      <c r="C381" s="10"/>
      <c r="D381" s="41"/>
      <c r="E381" s="18"/>
      <c r="F381" s="41"/>
      <c r="G381" s="10"/>
    </row>
    <row r="382" customFormat="false" ht="18" hidden="false" customHeight="true" outlineLevel="0" collapsed="false">
      <c r="B382" s="42"/>
      <c r="C382" s="13"/>
      <c r="D382" s="43"/>
      <c r="E382" s="17"/>
      <c r="F382" s="43"/>
      <c r="G382" s="13"/>
    </row>
    <row r="383" customFormat="false" ht="18" hidden="false" customHeight="true" outlineLevel="0" collapsed="false">
      <c r="B383" s="40"/>
      <c r="C383" s="10"/>
      <c r="D383" s="41"/>
      <c r="E383" s="18"/>
      <c r="F383" s="41"/>
      <c r="G383" s="10"/>
    </row>
    <row r="384" customFormat="false" ht="18" hidden="false" customHeight="true" outlineLevel="0" collapsed="false">
      <c r="B384" s="42"/>
      <c r="C384" s="13"/>
      <c r="D384" s="43"/>
      <c r="E384" s="17"/>
      <c r="F384" s="43"/>
      <c r="G384" s="13"/>
    </row>
    <row r="385" customFormat="false" ht="18" hidden="false" customHeight="true" outlineLevel="0" collapsed="false">
      <c r="B385" s="40"/>
      <c r="C385" s="10"/>
      <c r="D385" s="41"/>
      <c r="E385" s="18"/>
      <c r="F385" s="41"/>
      <c r="G385" s="10"/>
    </row>
    <row r="386" customFormat="false" ht="18" hidden="false" customHeight="true" outlineLevel="0" collapsed="false">
      <c r="B386" s="42"/>
      <c r="C386" s="13"/>
      <c r="D386" s="43"/>
      <c r="E386" s="17"/>
      <c r="F386" s="43"/>
      <c r="G386" s="13"/>
    </row>
    <row r="387" customFormat="false" ht="18" hidden="false" customHeight="true" outlineLevel="0" collapsed="false">
      <c r="B387" s="40"/>
      <c r="C387" s="10"/>
      <c r="D387" s="41"/>
      <c r="E387" s="18"/>
      <c r="F387" s="41"/>
      <c r="G387" s="10"/>
    </row>
    <row r="388" customFormat="false" ht="18" hidden="false" customHeight="true" outlineLevel="0" collapsed="false">
      <c r="B388" s="42"/>
      <c r="C388" s="13"/>
      <c r="D388" s="43"/>
      <c r="E388" s="17"/>
      <c r="F388" s="43"/>
      <c r="G388" s="13"/>
    </row>
    <row r="389" customFormat="false" ht="18" hidden="false" customHeight="true" outlineLevel="0" collapsed="false">
      <c r="B389" s="40"/>
      <c r="C389" s="10"/>
      <c r="D389" s="41"/>
      <c r="E389" s="18"/>
      <c r="F389" s="41"/>
      <c r="G389" s="10"/>
    </row>
    <row r="390" customFormat="false" ht="18" hidden="false" customHeight="true" outlineLevel="0" collapsed="false">
      <c r="B390" s="42"/>
      <c r="C390" s="13"/>
      <c r="D390" s="43"/>
      <c r="E390" s="17"/>
      <c r="F390" s="43"/>
      <c r="G390" s="13"/>
    </row>
    <row r="391" customFormat="false" ht="18" hidden="false" customHeight="true" outlineLevel="0" collapsed="false">
      <c r="B391" s="40"/>
      <c r="C391" s="10"/>
      <c r="D391" s="41"/>
      <c r="E391" s="18"/>
      <c r="F391" s="41"/>
      <c r="G391" s="10"/>
    </row>
    <row r="392" customFormat="false" ht="18" hidden="false" customHeight="true" outlineLevel="0" collapsed="false">
      <c r="B392" s="42"/>
      <c r="C392" s="13"/>
      <c r="D392" s="43"/>
      <c r="E392" s="17"/>
      <c r="F392" s="43"/>
      <c r="G392" s="13"/>
    </row>
    <row r="393" customFormat="false" ht="18" hidden="false" customHeight="true" outlineLevel="0" collapsed="false">
      <c r="B393" s="40"/>
      <c r="C393" s="10"/>
      <c r="D393" s="41"/>
      <c r="E393" s="18"/>
      <c r="F393" s="41"/>
      <c r="G393" s="10"/>
    </row>
    <row r="394" customFormat="false" ht="18" hidden="false" customHeight="true" outlineLevel="0" collapsed="false">
      <c r="B394" s="42"/>
      <c r="C394" s="13"/>
      <c r="D394" s="43"/>
      <c r="E394" s="17"/>
      <c r="F394" s="43"/>
      <c r="G394" s="13"/>
    </row>
    <row r="395" customFormat="false" ht="18" hidden="false" customHeight="true" outlineLevel="0" collapsed="false">
      <c r="B395" s="40"/>
      <c r="C395" s="10"/>
      <c r="D395" s="41"/>
      <c r="E395" s="18"/>
      <c r="F395" s="41"/>
      <c r="G395" s="10"/>
    </row>
    <row r="396" customFormat="false" ht="18" hidden="false" customHeight="true" outlineLevel="0" collapsed="false">
      <c r="B396" s="42"/>
      <c r="C396" s="13"/>
      <c r="D396" s="43"/>
      <c r="E396" s="17"/>
      <c r="F396" s="43"/>
      <c r="G396" s="13"/>
    </row>
    <row r="397" customFormat="false" ht="18" hidden="false" customHeight="true" outlineLevel="0" collapsed="false">
      <c r="B397" s="40"/>
      <c r="C397" s="10"/>
      <c r="D397" s="41"/>
      <c r="E397" s="18"/>
      <c r="F397" s="41"/>
      <c r="G397" s="10"/>
    </row>
    <row r="398" customFormat="false" ht="18" hidden="false" customHeight="true" outlineLevel="0" collapsed="false">
      <c r="B398" s="42"/>
      <c r="C398" s="13"/>
      <c r="D398" s="43"/>
      <c r="E398" s="17"/>
      <c r="F398" s="43"/>
      <c r="G398" s="13"/>
    </row>
    <row r="399" customFormat="false" ht="18" hidden="false" customHeight="true" outlineLevel="0" collapsed="false">
      <c r="B399" s="40"/>
      <c r="C399" s="10"/>
      <c r="D399" s="41"/>
      <c r="E399" s="18"/>
      <c r="F399" s="41"/>
      <c r="G399" s="10"/>
    </row>
    <row r="400" customFormat="false" ht="18" hidden="false" customHeight="true" outlineLevel="0" collapsed="false">
      <c r="B400" s="42"/>
      <c r="C400" s="13"/>
      <c r="D400" s="43"/>
      <c r="E400" s="17"/>
      <c r="F400" s="43"/>
      <c r="G400" s="13"/>
    </row>
    <row r="401" customFormat="false" ht="18" hidden="false" customHeight="true" outlineLevel="0" collapsed="false">
      <c r="B401" s="40"/>
      <c r="C401" s="10"/>
      <c r="D401" s="41"/>
      <c r="E401" s="18"/>
      <c r="F401" s="41"/>
      <c r="G401" s="10"/>
    </row>
    <row r="402" customFormat="false" ht="18" hidden="false" customHeight="true" outlineLevel="0" collapsed="false">
      <c r="B402" s="42"/>
      <c r="C402" s="13"/>
      <c r="D402" s="43"/>
      <c r="E402" s="17"/>
      <c r="F402" s="43"/>
      <c r="G402" s="13"/>
    </row>
    <row r="403" customFormat="false" ht="18" hidden="false" customHeight="true" outlineLevel="0" collapsed="false">
      <c r="B403" s="40"/>
      <c r="C403" s="10"/>
      <c r="D403" s="41"/>
      <c r="E403" s="18"/>
      <c r="F403" s="41"/>
      <c r="G403" s="10"/>
    </row>
    <row r="404" customFormat="false" ht="18" hidden="false" customHeight="true" outlineLevel="0" collapsed="false">
      <c r="B404" s="42"/>
      <c r="C404" s="13"/>
      <c r="D404" s="43"/>
      <c r="E404" s="17"/>
      <c r="F404" s="43"/>
      <c r="G404" s="13"/>
    </row>
    <row r="405" customFormat="false" ht="18" hidden="false" customHeight="true" outlineLevel="0" collapsed="false">
      <c r="B405" s="40"/>
      <c r="C405" s="10"/>
      <c r="D405" s="41"/>
      <c r="E405" s="18"/>
      <c r="F405" s="41"/>
      <c r="G405" s="10"/>
    </row>
    <row r="406" customFormat="false" ht="18" hidden="false" customHeight="true" outlineLevel="0" collapsed="false">
      <c r="B406" s="42"/>
      <c r="C406" s="13"/>
      <c r="D406" s="43"/>
      <c r="E406" s="17"/>
      <c r="F406" s="43"/>
      <c r="G406" s="13"/>
    </row>
    <row r="407" customFormat="false" ht="18" hidden="false" customHeight="true" outlineLevel="0" collapsed="false">
      <c r="B407" s="40"/>
      <c r="C407" s="10"/>
      <c r="D407" s="41"/>
      <c r="E407" s="18"/>
      <c r="F407" s="41"/>
      <c r="G407" s="10"/>
    </row>
    <row r="408" customFormat="false" ht="18" hidden="false" customHeight="true" outlineLevel="0" collapsed="false">
      <c r="B408" s="42"/>
      <c r="C408" s="13"/>
      <c r="D408" s="43"/>
      <c r="E408" s="17"/>
      <c r="F408" s="43"/>
      <c r="G408" s="13"/>
    </row>
    <row r="409" customFormat="false" ht="18" hidden="false" customHeight="true" outlineLevel="0" collapsed="false">
      <c r="B409" s="40"/>
      <c r="C409" s="10"/>
      <c r="D409" s="41"/>
      <c r="E409" s="18"/>
      <c r="F409" s="41"/>
      <c r="G409" s="10"/>
    </row>
    <row r="410" customFormat="false" ht="18" hidden="false" customHeight="true" outlineLevel="0" collapsed="false">
      <c r="B410" s="42"/>
      <c r="C410" s="13"/>
      <c r="D410" s="43"/>
      <c r="E410" s="17"/>
      <c r="F410" s="43"/>
      <c r="G410" s="13"/>
    </row>
    <row r="411" customFormat="false" ht="18" hidden="false" customHeight="true" outlineLevel="0" collapsed="false">
      <c r="B411" s="40"/>
      <c r="C411" s="10"/>
      <c r="D411" s="41"/>
      <c r="E411" s="18"/>
      <c r="F411" s="41"/>
      <c r="G411" s="10"/>
    </row>
    <row r="412" customFormat="false" ht="18" hidden="false" customHeight="true" outlineLevel="0" collapsed="false">
      <c r="B412" s="42"/>
      <c r="C412" s="13"/>
      <c r="D412" s="43"/>
      <c r="E412" s="17"/>
      <c r="F412" s="43"/>
      <c r="G412" s="13"/>
    </row>
    <row r="413" customFormat="false" ht="18" hidden="false" customHeight="true" outlineLevel="0" collapsed="false">
      <c r="B413" s="40"/>
      <c r="C413" s="10"/>
      <c r="D413" s="41"/>
      <c r="E413" s="18"/>
      <c r="F413" s="41"/>
      <c r="G413" s="10"/>
    </row>
    <row r="414" customFormat="false" ht="18" hidden="false" customHeight="true" outlineLevel="0" collapsed="false">
      <c r="B414" s="42"/>
      <c r="C414" s="13"/>
      <c r="D414" s="43"/>
      <c r="E414" s="17"/>
      <c r="F414" s="43"/>
      <c r="G414" s="13"/>
    </row>
    <row r="415" customFormat="false" ht="18" hidden="false" customHeight="true" outlineLevel="0" collapsed="false">
      <c r="B415" s="40"/>
      <c r="C415" s="10"/>
      <c r="D415" s="41"/>
      <c r="E415" s="18"/>
      <c r="F415" s="41"/>
      <c r="G415" s="10"/>
    </row>
    <row r="416" customFormat="false" ht="18" hidden="false" customHeight="true" outlineLevel="0" collapsed="false">
      <c r="B416" s="42"/>
      <c r="C416" s="13"/>
      <c r="D416" s="43"/>
      <c r="E416" s="17"/>
      <c r="F416" s="43"/>
      <c r="G416" s="13"/>
    </row>
    <row r="417" customFormat="false" ht="18" hidden="false" customHeight="true" outlineLevel="0" collapsed="false">
      <c r="B417" s="40"/>
      <c r="C417" s="10"/>
      <c r="D417" s="41"/>
      <c r="E417" s="18"/>
      <c r="F417" s="41"/>
      <c r="G417" s="10"/>
    </row>
    <row r="418" customFormat="false" ht="18" hidden="false" customHeight="true" outlineLevel="0" collapsed="false">
      <c r="B418" s="42"/>
      <c r="C418" s="13"/>
      <c r="D418" s="43"/>
      <c r="E418" s="17"/>
      <c r="F418" s="43"/>
      <c r="G418" s="13"/>
    </row>
    <row r="419" customFormat="false" ht="18" hidden="false" customHeight="true" outlineLevel="0" collapsed="false">
      <c r="B419" s="40"/>
      <c r="C419" s="10"/>
      <c r="D419" s="41"/>
      <c r="E419" s="18"/>
      <c r="F419" s="41"/>
      <c r="G419" s="10"/>
    </row>
    <row r="420" customFormat="false" ht="18" hidden="false" customHeight="true" outlineLevel="0" collapsed="false">
      <c r="B420" s="42"/>
      <c r="C420" s="13"/>
      <c r="D420" s="43"/>
      <c r="E420" s="17"/>
      <c r="F420" s="43"/>
      <c r="G420" s="13"/>
    </row>
    <row r="421" customFormat="false" ht="18" hidden="false" customHeight="true" outlineLevel="0" collapsed="false">
      <c r="B421" s="40"/>
      <c r="C421" s="10"/>
      <c r="D421" s="41"/>
      <c r="E421" s="18"/>
      <c r="F421" s="41"/>
      <c r="G421" s="10"/>
    </row>
    <row r="422" customFormat="false" ht="18" hidden="false" customHeight="true" outlineLevel="0" collapsed="false">
      <c r="B422" s="42"/>
      <c r="C422" s="13"/>
      <c r="D422" s="43"/>
      <c r="E422" s="17"/>
      <c r="F422" s="43"/>
      <c r="G422" s="13"/>
    </row>
    <row r="423" customFormat="false" ht="18" hidden="false" customHeight="true" outlineLevel="0" collapsed="false">
      <c r="B423" s="40"/>
      <c r="C423" s="10"/>
      <c r="D423" s="41"/>
      <c r="E423" s="18"/>
      <c r="F423" s="41"/>
      <c r="G423" s="10"/>
    </row>
    <row r="424" customFormat="false" ht="18" hidden="false" customHeight="true" outlineLevel="0" collapsed="false">
      <c r="B424" s="42"/>
      <c r="C424" s="13"/>
      <c r="D424" s="43"/>
      <c r="E424" s="17"/>
      <c r="F424" s="43"/>
      <c r="G424" s="13"/>
    </row>
    <row r="425" customFormat="false" ht="18" hidden="false" customHeight="true" outlineLevel="0" collapsed="false">
      <c r="B425" s="40"/>
      <c r="C425" s="10"/>
      <c r="D425" s="41"/>
      <c r="E425" s="18"/>
      <c r="F425" s="41"/>
      <c r="G425" s="10"/>
    </row>
    <row r="426" customFormat="false" ht="18" hidden="false" customHeight="true" outlineLevel="0" collapsed="false">
      <c r="B426" s="42"/>
      <c r="C426" s="13"/>
      <c r="D426" s="43"/>
      <c r="E426" s="17"/>
      <c r="F426" s="43"/>
      <c r="G426" s="13"/>
    </row>
    <row r="427" customFormat="false" ht="18" hidden="false" customHeight="true" outlineLevel="0" collapsed="false">
      <c r="B427" s="40"/>
      <c r="C427" s="10"/>
      <c r="D427" s="41"/>
      <c r="E427" s="18"/>
      <c r="F427" s="41"/>
      <c r="G427" s="10"/>
    </row>
    <row r="428" customFormat="false" ht="18" hidden="false" customHeight="true" outlineLevel="0" collapsed="false">
      <c r="B428" s="42"/>
      <c r="C428" s="13"/>
      <c r="D428" s="43"/>
      <c r="E428" s="17"/>
      <c r="F428" s="43"/>
      <c r="G428" s="13"/>
    </row>
    <row r="429" customFormat="false" ht="18" hidden="false" customHeight="true" outlineLevel="0" collapsed="false">
      <c r="B429" s="40"/>
      <c r="C429" s="10"/>
      <c r="D429" s="41"/>
      <c r="E429" s="18"/>
      <c r="F429" s="41"/>
      <c r="G429" s="10"/>
    </row>
    <row r="430" customFormat="false" ht="18" hidden="false" customHeight="true" outlineLevel="0" collapsed="false">
      <c r="B430" s="42"/>
      <c r="C430" s="13"/>
      <c r="D430" s="43"/>
      <c r="E430" s="17"/>
      <c r="F430" s="43"/>
      <c r="G430" s="13"/>
    </row>
    <row r="431" customFormat="false" ht="18" hidden="false" customHeight="true" outlineLevel="0" collapsed="false">
      <c r="B431" s="40"/>
      <c r="C431" s="10"/>
      <c r="D431" s="41"/>
      <c r="E431" s="18"/>
      <c r="F431" s="41"/>
      <c r="G431" s="10"/>
    </row>
    <row r="432" customFormat="false" ht="18" hidden="false" customHeight="true" outlineLevel="0" collapsed="false">
      <c r="B432" s="42"/>
      <c r="C432" s="13"/>
      <c r="D432" s="43"/>
      <c r="E432" s="17"/>
      <c r="F432" s="43"/>
      <c r="G432" s="13"/>
    </row>
    <row r="433" customFormat="false" ht="18" hidden="false" customHeight="true" outlineLevel="0" collapsed="false">
      <c r="B433" s="40"/>
      <c r="C433" s="10"/>
      <c r="D433" s="41"/>
      <c r="E433" s="18"/>
      <c r="F433" s="41"/>
      <c r="G433" s="10"/>
    </row>
    <row r="434" customFormat="false" ht="18" hidden="false" customHeight="true" outlineLevel="0" collapsed="false">
      <c r="B434" s="42"/>
      <c r="C434" s="13"/>
      <c r="D434" s="43"/>
      <c r="E434" s="17"/>
      <c r="F434" s="43"/>
      <c r="G434" s="13"/>
    </row>
    <row r="435" customFormat="false" ht="18" hidden="false" customHeight="true" outlineLevel="0" collapsed="false">
      <c r="B435" s="40"/>
      <c r="C435" s="10"/>
      <c r="D435" s="41"/>
      <c r="E435" s="18"/>
      <c r="F435" s="41"/>
      <c r="G435" s="10"/>
    </row>
    <row r="436" customFormat="false" ht="18" hidden="false" customHeight="true" outlineLevel="0" collapsed="false">
      <c r="B436" s="42"/>
      <c r="C436" s="13"/>
      <c r="D436" s="43"/>
      <c r="E436" s="17"/>
      <c r="F436" s="43"/>
      <c r="G436" s="13"/>
    </row>
    <row r="437" customFormat="false" ht="18" hidden="false" customHeight="true" outlineLevel="0" collapsed="false">
      <c r="B437" s="40"/>
      <c r="C437" s="10"/>
      <c r="D437" s="41"/>
      <c r="E437" s="18"/>
      <c r="F437" s="41"/>
      <c r="G437" s="10"/>
    </row>
    <row r="438" customFormat="false" ht="18" hidden="false" customHeight="true" outlineLevel="0" collapsed="false">
      <c r="B438" s="42"/>
      <c r="C438" s="13"/>
      <c r="D438" s="43"/>
      <c r="E438" s="17"/>
      <c r="F438" s="43"/>
      <c r="G438" s="13"/>
    </row>
    <row r="439" customFormat="false" ht="18" hidden="false" customHeight="true" outlineLevel="0" collapsed="false">
      <c r="B439" s="40"/>
      <c r="C439" s="10"/>
      <c r="D439" s="41"/>
      <c r="E439" s="18"/>
      <c r="F439" s="41"/>
      <c r="G439" s="10"/>
    </row>
    <row r="440" customFormat="false" ht="18" hidden="false" customHeight="true" outlineLevel="0" collapsed="false">
      <c r="B440" s="42"/>
      <c r="C440" s="13"/>
      <c r="D440" s="43"/>
      <c r="E440" s="17"/>
      <c r="F440" s="43"/>
      <c r="G440" s="13"/>
    </row>
    <row r="441" customFormat="false" ht="18" hidden="false" customHeight="true" outlineLevel="0" collapsed="false">
      <c r="B441" s="40"/>
      <c r="C441" s="10"/>
      <c r="D441" s="41"/>
      <c r="E441" s="18"/>
      <c r="F441" s="41"/>
      <c r="G441" s="10"/>
    </row>
    <row r="442" customFormat="false" ht="18" hidden="false" customHeight="true" outlineLevel="0" collapsed="false">
      <c r="B442" s="42"/>
      <c r="C442" s="13"/>
      <c r="D442" s="43"/>
      <c r="E442" s="17"/>
      <c r="F442" s="43"/>
      <c r="G442" s="13"/>
    </row>
    <row r="443" customFormat="false" ht="18" hidden="false" customHeight="true" outlineLevel="0" collapsed="false">
      <c r="B443" s="40"/>
      <c r="C443" s="10"/>
      <c r="D443" s="41"/>
      <c r="E443" s="18"/>
      <c r="F443" s="41"/>
      <c r="G443" s="10"/>
    </row>
    <row r="444" customFormat="false" ht="18" hidden="false" customHeight="true" outlineLevel="0" collapsed="false">
      <c r="B444" s="42"/>
      <c r="C444" s="13"/>
      <c r="D444" s="43"/>
      <c r="E444" s="17"/>
      <c r="F444" s="43"/>
      <c r="G444" s="13"/>
    </row>
    <row r="445" customFormat="false" ht="18" hidden="false" customHeight="true" outlineLevel="0" collapsed="false">
      <c r="B445" s="40"/>
      <c r="C445" s="10"/>
      <c r="D445" s="41"/>
      <c r="E445" s="18"/>
      <c r="F445" s="41"/>
      <c r="G445" s="10"/>
    </row>
    <row r="446" customFormat="false" ht="18" hidden="false" customHeight="true" outlineLevel="0" collapsed="false">
      <c r="B446" s="42"/>
      <c r="C446" s="13"/>
      <c r="D446" s="43"/>
      <c r="E446" s="17"/>
      <c r="F446" s="43"/>
      <c r="G446" s="13"/>
    </row>
    <row r="447" customFormat="false" ht="18" hidden="false" customHeight="true" outlineLevel="0" collapsed="false">
      <c r="B447" s="40"/>
      <c r="C447" s="10"/>
      <c r="D447" s="41"/>
      <c r="E447" s="18"/>
      <c r="F447" s="41"/>
      <c r="G447" s="10"/>
    </row>
    <row r="448" customFormat="false" ht="18" hidden="false" customHeight="true" outlineLevel="0" collapsed="false">
      <c r="B448" s="42"/>
      <c r="C448" s="13"/>
      <c r="D448" s="43"/>
      <c r="E448" s="17"/>
      <c r="F448" s="43"/>
      <c r="G448" s="13"/>
    </row>
    <row r="449" customFormat="false" ht="18" hidden="false" customHeight="true" outlineLevel="0" collapsed="false">
      <c r="B449" s="40"/>
      <c r="C449" s="10"/>
      <c r="D449" s="41"/>
      <c r="E449" s="18"/>
      <c r="F449" s="41"/>
      <c r="G449" s="10"/>
    </row>
    <row r="450" customFormat="false" ht="18" hidden="false" customHeight="true" outlineLevel="0" collapsed="false">
      <c r="B450" s="42"/>
      <c r="C450" s="13"/>
      <c r="D450" s="43"/>
      <c r="E450" s="17"/>
      <c r="F450" s="43"/>
      <c r="G450" s="13"/>
    </row>
    <row r="451" customFormat="false" ht="18" hidden="false" customHeight="true" outlineLevel="0" collapsed="false">
      <c r="B451" s="40"/>
      <c r="C451" s="10"/>
      <c r="D451" s="41"/>
      <c r="E451" s="18"/>
      <c r="F451" s="41"/>
      <c r="G451" s="10"/>
    </row>
    <row r="452" customFormat="false" ht="18" hidden="false" customHeight="true" outlineLevel="0" collapsed="false">
      <c r="B452" s="42"/>
      <c r="C452" s="13"/>
      <c r="D452" s="43"/>
      <c r="E452" s="17"/>
      <c r="F452" s="43"/>
      <c r="G452" s="13"/>
    </row>
    <row r="453" customFormat="false" ht="18" hidden="false" customHeight="true" outlineLevel="0" collapsed="false">
      <c r="B453" s="40"/>
      <c r="C453" s="10"/>
      <c r="D453" s="41"/>
      <c r="E453" s="18"/>
      <c r="F453" s="41"/>
      <c r="G453" s="10"/>
    </row>
    <row r="454" customFormat="false" ht="18" hidden="false" customHeight="true" outlineLevel="0" collapsed="false">
      <c r="B454" s="42"/>
      <c r="C454" s="13"/>
      <c r="D454" s="43"/>
      <c r="E454" s="17"/>
      <c r="F454" s="43"/>
      <c r="G454" s="13"/>
    </row>
    <row r="455" customFormat="false" ht="18" hidden="false" customHeight="true" outlineLevel="0" collapsed="false">
      <c r="B455" s="40"/>
      <c r="C455" s="10"/>
      <c r="D455" s="41"/>
      <c r="E455" s="18"/>
      <c r="F455" s="41"/>
      <c r="G455" s="10"/>
    </row>
    <row r="456" customFormat="false" ht="18" hidden="false" customHeight="true" outlineLevel="0" collapsed="false">
      <c r="B456" s="42"/>
      <c r="C456" s="13"/>
      <c r="D456" s="43"/>
      <c r="E456" s="17"/>
      <c r="F456" s="43"/>
      <c r="G456" s="13"/>
    </row>
    <row r="457" customFormat="false" ht="18" hidden="false" customHeight="true" outlineLevel="0" collapsed="false">
      <c r="B457" s="40"/>
      <c r="C457" s="10"/>
      <c r="D457" s="41"/>
      <c r="E457" s="18"/>
      <c r="F457" s="41"/>
      <c r="G457" s="10"/>
    </row>
    <row r="458" customFormat="false" ht="18" hidden="false" customHeight="true" outlineLevel="0" collapsed="false">
      <c r="B458" s="42"/>
      <c r="C458" s="13"/>
      <c r="D458" s="43"/>
      <c r="E458" s="17"/>
      <c r="F458" s="43"/>
      <c r="G458" s="13"/>
    </row>
    <row r="459" customFormat="false" ht="18" hidden="false" customHeight="true" outlineLevel="0" collapsed="false">
      <c r="B459" s="40"/>
      <c r="C459" s="10"/>
      <c r="D459" s="41"/>
      <c r="E459" s="18"/>
      <c r="F459" s="41"/>
      <c r="G459" s="10"/>
    </row>
    <row r="460" customFormat="false" ht="18" hidden="false" customHeight="true" outlineLevel="0" collapsed="false">
      <c r="B460" s="42"/>
      <c r="C460" s="13"/>
      <c r="D460" s="43"/>
      <c r="E460" s="17"/>
      <c r="F460" s="43"/>
      <c r="G460" s="13"/>
    </row>
    <row r="461" customFormat="false" ht="18" hidden="false" customHeight="true" outlineLevel="0" collapsed="false">
      <c r="B461" s="40"/>
      <c r="C461" s="10"/>
      <c r="D461" s="41"/>
      <c r="E461" s="18"/>
      <c r="F461" s="41"/>
      <c r="G461" s="10"/>
    </row>
    <row r="462" customFormat="false" ht="18" hidden="false" customHeight="true" outlineLevel="0" collapsed="false">
      <c r="B462" s="42"/>
      <c r="C462" s="13"/>
      <c r="D462" s="43"/>
      <c r="E462" s="17"/>
      <c r="F462" s="43"/>
      <c r="G462" s="13"/>
    </row>
    <row r="463" customFormat="false" ht="18" hidden="false" customHeight="true" outlineLevel="0" collapsed="false">
      <c r="B463" s="40"/>
      <c r="C463" s="10"/>
      <c r="D463" s="41"/>
      <c r="E463" s="18"/>
      <c r="F463" s="41"/>
      <c r="G463" s="10"/>
    </row>
    <row r="464" customFormat="false" ht="18" hidden="false" customHeight="true" outlineLevel="0" collapsed="false">
      <c r="B464" s="42"/>
      <c r="C464" s="13"/>
      <c r="D464" s="43"/>
      <c r="E464" s="17"/>
      <c r="F464" s="43"/>
      <c r="G464" s="13"/>
    </row>
    <row r="465" customFormat="false" ht="18" hidden="false" customHeight="true" outlineLevel="0" collapsed="false">
      <c r="B465" s="40"/>
      <c r="C465" s="10"/>
      <c r="D465" s="41"/>
      <c r="E465" s="18"/>
      <c r="F465" s="41"/>
      <c r="G465" s="10"/>
    </row>
    <row r="466" customFormat="false" ht="18" hidden="false" customHeight="true" outlineLevel="0" collapsed="false">
      <c r="B466" s="42"/>
      <c r="C466" s="13"/>
      <c r="D466" s="43"/>
      <c r="E466" s="17"/>
      <c r="F466" s="43"/>
      <c r="G466" s="13"/>
    </row>
    <row r="467" customFormat="false" ht="18" hidden="false" customHeight="true" outlineLevel="0" collapsed="false">
      <c r="B467" s="40"/>
      <c r="C467" s="10"/>
      <c r="D467" s="41"/>
      <c r="E467" s="18"/>
      <c r="F467" s="41"/>
      <c r="G467" s="10"/>
    </row>
    <row r="468" customFormat="false" ht="18" hidden="false" customHeight="true" outlineLevel="0" collapsed="false">
      <c r="B468" s="42"/>
      <c r="C468" s="13"/>
      <c r="D468" s="43"/>
      <c r="E468" s="17"/>
      <c r="F468" s="43"/>
      <c r="G468" s="13"/>
    </row>
    <row r="469" customFormat="false" ht="18" hidden="false" customHeight="true" outlineLevel="0" collapsed="false">
      <c r="B469" s="40"/>
      <c r="C469" s="10"/>
      <c r="D469" s="41"/>
      <c r="E469" s="18"/>
      <c r="F469" s="41"/>
      <c r="G469" s="10"/>
    </row>
    <row r="470" customFormat="false" ht="18" hidden="false" customHeight="true" outlineLevel="0" collapsed="false">
      <c r="B470" s="42"/>
      <c r="C470" s="13"/>
      <c r="D470" s="43"/>
      <c r="E470" s="17"/>
      <c r="F470" s="43"/>
      <c r="G470" s="13"/>
    </row>
    <row r="471" customFormat="false" ht="18" hidden="false" customHeight="true" outlineLevel="0" collapsed="false">
      <c r="B471" s="40"/>
      <c r="C471" s="10"/>
      <c r="D471" s="41"/>
      <c r="E471" s="18"/>
      <c r="F471" s="41"/>
      <c r="G471" s="10"/>
    </row>
    <row r="472" customFormat="false" ht="18" hidden="false" customHeight="true" outlineLevel="0" collapsed="false">
      <c r="B472" s="42"/>
      <c r="C472" s="13"/>
      <c r="D472" s="43"/>
      <c r="E472" s="17"/>
      <c r="F472" s="43"/>
      <c r="G472" s="13"/>
    </row>
    <row r="473" customFormat="false" ht="18" hidden="false" customHeight="true" outlineLevel="0" collapsed="false">
      <c r="B473" s="40"/>
      <c r="C473" s="10"/>
      <c r="D473" s="41"/>
      <c r="E473" s="18"/>
      <c r="F473" s="41"/>
      <c r="G473" s="10"/>
    </row>
    <row r="474" customFormat="false" ht="18" hidden="false" customHeight="true" outlineLevel="0" collapsed="false">
      <c r="B474" s="42"/>
      <c r="C474" s="13"/>
      <c r="D474" s="43"/>
      <c r="E474" s="17"/>
      <c r="F474" s="43"/>
      <c r="G474" s="13"/>
    </row>
    <row r="475" customFormat="false" ht="18" hidden="false" customHeight="true" outlineLevel="0" collapsed="false">
      <c r="B475" s="40"/>
      <c r="C475" s="10"/>
      <c r="D475" s="41"/>
      <c r="E475" s="18"/>
      <c r="F475" s="41"/>
      <c r="G475" s="10"/>
    </row>
    <row r="476" customFormat="false" ht="18" hidden="false" customHeight="true" outlineLevel="0" collapsed="false">
      <c r="B476" s="42"/>
      <c r="C476" s="13"/>
      <c r="D476" s="43"/>
      <c r="E476" s="17"/>
      <c r="F476" s="43"/>
      <c r="G476" s="13"/>
    </row>
    <row r="477" customFormat="false" ht="18" hidden="false" customHeight="true" outlineLevel="0" collapsed="false">
      <c r="B477" s="40"/>
      <c r="C477" s="10"/>
      <c r="D477" s="41"/>
      <c r="E477" s="18"/>
      <c r="F477" s="41"/>
      <c r="G477" s="10"/>
    </row>
    <row r="478" customFormat="false" ht="18" hidden="false" customHeight="true" outlineLevel="0" collapsed="false">
      <c r="B478" s="42"/>
      <c r="C478" s="13"/>
      <c r="D478" s="43"/>
      <c r="E478" s="17"/>
      <c r="F478" s="43"/>
      <c r="G478" s="13"/>
    </row>
    <row r="479" customFormat="false" ht="18" hidden="false" customHeight="true" outlineLevel="0" collapsed="false">
      <c r="B479" s="40"/>
      <c r="C479" s="10"/>
      <c r="D479" s="41"/>
      <c r="E479" s="18"/>
      <c r="F479" s="41"/>
      <c r="G479" s="10"/>
    </row>
    <row r="480" customFormat="false" ht="18" hidden="false" customHeight="true" outlineLevel="0" collapsed="false">
      <c r="B480" s="42"/>
      <c r="C480" s="13"/>
      <c r="D480" s="43"/>
      <c r="E480" s="17"/>
      <c r="F480" s="43"/>
      <c r="G480" s="13"/>
    </row>
    <row r="481" customFormat="false" ht="18" hidden="false" customHeight="true" outlineLevel="0" collapsed="false">
      <c r="B481" s="40"/>
      <c r="C481" s="10"/>
      <c r="D481" s="41"/>
      <c r="E481" s="18"/>
      <c r="F481" s="41"/>
      <c r="G481" s="10"/>
    </row>
    <row r="482" customFormat="false" ht="18" hidden="false" customHeight="true" outlineLevel="0" collapsed="false">
      <c r="B482" s="42"/>
      <c r="C482" s="13"/>
      <c r="D482" s="43"/>
      <c r="E482" s="17"/>
      <c r="F482" s="43"/>
      <c r="G482" s="13"/>
    </row>
    <row r="483" customFormat="false" ht="18" hidden="false" customHeight="true" outlineLevel="0" collapsed="false">
      <c r="B483" s="40"/>
      <c r="C483" s="10"/>
      <c r="D483" s="41"/>
      <c r="E483" s="18"/>
      <c r="F483" s="41"/>
      <c r="G483" s="10"/>
    </row>
    <row r="484" customFormat="false" ht="18" hidden="false" customHeight="true" outlineLevel="0" collapsed="false">
      <c r="B484" s="42"/>
      <c r="C484" s="13"/>
      <c r="D484" s="43"/>
      <c r="E484" s="17"/>
      <c r="F484" s="43"/>
      <c r="G484" s="13"/>
    </row>
    <row r="485" customFormat="false" ht="18" hidden="false" customHeight="true" outlineLevel="0" collapsed="false">
      <c r="B485" s="40"/>
      <c r="C485" s="10"/>
      <c r="D485" s="41"/>
      <c r="E485" s="18"/>
      <c r="F485" s="41"/>
      <c r="G485" s="10"/>
    </row>
    <row r="486" customFormat="false" ht="18" hidden="false" customHeight="true" outlineLevel="0" collapsed="false">
      <c r="B486" s="42"/>
      <c r="C486" s="13"/>
      <c r="D486" s="43"/>
      <c r="E486" s="17"/>
      <c r="F486" s="43"/>
      <c r="G486" s="13"/>
    </row>
    <row r="487" customFormat="false" ht="18" hidden="false" customHeight="true" outlineLevel="0" collapsed="false">
      <c r="B487" s="40"/>
      <c r="C487" s="10"/>
      <c r="D487" s="41"/>
      <c r="E487" s="18"/>
      <c r="F487" s="41"/>
      <c r="G487" s="10"/>
    </row>
    <row r="488" customFormat="false" ht="18" hidden="false" customHeight="true" outlineLevel="0" collapsed="false">
      <c r="B488" s="42"/>
      <c r="C488" s="13"/>
      <c r="D488" s="43"/>
      <c r="E488" s="17"/>
      <c r="F488" s="43"/>
      <c r="G488" s="13"/>
    </row>
    <row r="489" customFormat="false" ht="18" hidden="false" customHeight="true" outlineLevel="0" collapsed="false">
      <c r="B489" s="40"/>
      <c r="C489" s="10"/>
      <c r="D489" s="41"/>
      <c r="E489" s="18"/>
      <c r="F489" s="41"/>
      <c r="G489" s="10"/>
    </row>
    <row r="490" customFormat="false" ht="18" hidden="false" customHeight="true" outlineLevel="0" collapsed="false">
      <c r="B490" s="42"/>
      <c r="C490" s="13"/>
      <c r="D490" s="43"/>
      <c r="E490" s="17"/>
      <c r="F490" s="43"/>
      <c r="G490" s="13"/>
    </row>
    <row r="491" customFormat="false" ht="18" hidden="false" customHeight="true" outlineLevel="0" collapsed="false">
      <c r="B491" s="40"/>
      <c r="C491" s="10"/>
      <c r="D491" s="41"/>
      <c r="E491" s="18"/>
      <c r="F491" s="41"/>
      <c r="G491" s="10"/>
    </row>
    <row r="492" customFormat="false" ht="18" hidden="false" customHeight="true" outlineLevel="0" collapsed="false">
      <c r="B492" s="42"/>
      <c r="C492" s="13"/>
      <c r="D492" s="43"/>
      <c r="E492" s="17"/>
      <c r="F492" s="43"/>
      <c r="G492" s="13"/>
    </row>
    <row r="493" customFormat="false" ht="18" hidden="false" customHeight="true" outlineLevel="0" collapsed="false">
      <c r="B493" s="40"/>
      <c r="C493" s="10"/>
      <c r="D493" s="41"/>
      <c r="E493" s="18"/>
      <c r="F493" s="41"/>
      <c r="G493" s="10"/>
    </row>
    <row r="494" customFormat="false" ht="18" hidden="false" customHeight="true" outlineLevel="0" collapsed="false">
      <c r="B494" s="42"/>
      <c r="C494" s="13"/>
      <c r="D494" s="43"/>
      <c r="E494" s="17"/>
      <c r="F494" s="43"/>
      <c r="G494" s="13"/>
    </row>
    <row r="495" customFormat="false" ht="18" hidden="false" customHeight="true" outlineLevel="0" collapsed="false">
      <c r="B495" s="40"/>
      <c r="C495" s="10"/>
      <c r="D495" s="41"/>
      <c r="E495" s="18"/>
      <c r="F495" s="41"/>
      <c r="G495" s="10"/>
    </row>
    <row r="496" customFormat="false" ht="18" hidden="false" customHeight="true" outlineLevel="0" collapsed="false">
      <c r="B496" s="42"/>
      <c r="C496" s="13"/>
      <c r="D496" s="43"/>
      <c r="E496" s="17"/>
      <c r="F496" s="43"/>
      <c r="G496" s="13"/>
    </row>
    <row r="497" customFormat="false" ht="18" hidden="false" customHeight="true" outlineLevel="0" collapsed="false">
      <c r="B497" s="40"/>
      <c r="C497" s="10"/>
      <c r="D497" s="41"/>
      <c r="E497" s="18"/>
      <c r="F497" s="41"/>
      <c r="G497" s="10"/>
    </row>
    <row r="498" customFormat="false" ht="18" hidden="false" customHeight="true" outlineLevel="0" collapsed="false">
      <c r="B498" s="42"/>
      <c r="C498" s="13"/>
      <c r="D498" s="43"/>
      <c r="E498" s="17"/>
      <c r="F498" s="43"/>
      <c r="G498" s="13"/>
    </row>
    <row r="499" customFormat="false" ht="18" hidden="false" customHeight="true" outlineLevel="0" collapsed="false">
      <c r="B499" s="40"/>
      <c r="C499" s="10"/>
      <c r="D499" s="41"/>
      <c r="E499" s="18"/>
      <c r="F499" s="41"/>
      <c r="G499" s="10"/>
    </row>
    <row r="500" customFormat="false" ht="18" hidden="false" customHeight="true" outlineLevel="0" collapsed="false">
      <c r="B500" s="42"/>
      <c r="C500" s="13"/>
      <c r="D500" s="43"/>
      <c r="E500" s="17"/>
      <c r="F500" s="43"/>
      <c r="G500" s="13"/>
    </row>
    <row r="501" customFormat="false" ht="18" hidden="false" customHeight="true" outlineLevel="0" collapsed="false">
      <c r="B501" s="40"/>
      <c r="C501" s="10"/>
      <c r="D501" s="41"/>
      <c r="E501" s="18"/>
      <c r="F501" s="41"/>
      <c r="G501" s="10"/>
    </row>
    <row r="502" customFormat="false" ht="18" hidden="false" customHeight="true" outlineLevel="0" collapsed="false">
      <c r="B502" s="42"/>
      <c r="C502" s="13"/>
      <c r="D502" s="43"/>
      <c r="E502" s="17"/>
      <c r="F502" s="43"/>
      <c r="G502" s="13"/>
    </row>
    <row r="504" customFormat="false" ht="24" hidden="false" customHeight="true" outlineLevel="0" collapsed="false">
      <c r="B504" s="56" t="s">
        <v>76</v>
      </c>
      <c r="C504" s="56"/>
      <c r="D504" s="56"/>
      <c r="E504" s="57" t="n">
        <f aca="false">SUM(E3:E502)</f>
        <v>0</v>
      </c>
      <c r="F504" s="57"/>
      <c r="G504" s="57"/>
    </row>
  </sheetData>
  <mergeCells count="3">
    <mergeCell ref="B1:G1"/>
    <mergeCell ref="B504:D504"/>
    <mergeCell ref="E504:G504"/>
  </mergeCells>
  <dataValidations count="2">
    <dataValidation allowBlank="false" errorStyle="stop" operator="between" showDropDown="false" showErrorMessage="false" showInputMessage="false" sqref="D3:D502" type="list">
      <formula1>"Rent,Salary,Transport,Data/Internet,Packaging,Utilities,Bank Charges,Miscellaneous"</formula1>
      <formula2>0</formula2>
    </dataValidation>
    <dataValidation allowBlank="false" errorStyle="stop" operator="between" showDropDown="false" showErrorMessage="false" showInputMessage="false" sqref="F3:F502" type="list">
      <formula1>"Cash,Transfer,POS"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3C98"/>
    <pageSetUpPr fitToPage="false"/>
  </sheetPr>
  <dimension ref="B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4" min="3" style="1" width="22"/>
    <col collapsed="false" customWidth="true" hidden="false" outlineLevel="0" max="5" min="5" style="1" width="4"/>
  </cols>
  <sheetData>
    <row r="1" customFormat="false" ht="31.5" hidden="false" customHeight="true" outlineLevel="0" collapsed="false">
      <c r="B1" s="21" t="s">
        <v>77</v>
      </c>
      <c r="C1" s="21"/>
      <c r="D1" s="21"/>
    </row>
    <row r="2" customFormat="false" ht="18" hidden="false" customHeight="true" outlineLevel="0" collapsed="false">
      <c r="B2" s="58" t="s">
        <v>78</v>
      </c>
      <c r="C2" s="58"/>
      <c r="D2" s="58"/>
    </row>
    <row r="3" customFormat="false" ht="21.75" hidden="false" customHeight="true" outlineLevel="0" collapsed="false">
      <c r="B3" s="59" t="s">
        <v>79</v>
      </c>
      <c r="C3" s="60"/>
    </row>
    <row r="4" customFormat="false" ht="21.75" hidden="false" customHeight="true" outlineLevel="0" collapsed="false">
      <c r="B4" s="10" t="s">
        <v>80</v>
      </c>
      <c r="C4" s="18" t="n">
        <f aca="false">SUM('💰 DAILY SALES'!H3:H502)</f>
        <v>0</v>
      </c>
    </row>
    <row r="5" customFormat="false" ht="21.75" hidden="false" customHeight="true" outlineLevel="0" collapsed="false">
      <c r="B5" s="13"/>
      <c r="C5" s="61"/>
    </row>
    <row r="6" customFormat="false" ht="21.75" hidden="false" customHeight="true" outlineLevel="0" collapsed="false">
      <c r="B6" s="59" t="s">
        <v>81</v>
      </c>
      <c r="C6" s="60"/>
    </row>
    <row r="7" customFormat="false" ht="21.75" hidden="false" customHeight="true" outlineLevel="0" collapsed="false">
      <c r="B7" s="13" t="s">
        <v>82</v>
      </c>
      <c r="C7" s="17" t="n">
        <f aca="false">SUM('📥 STOCK IN'!F3:F502)</f>
        <v>0</v>
      </c>
    </row>
    <row r="8" customFormat="false" ht="21.75" hidden="false" customHeight="true" outlineLevel="0" collapsed="false">
      <c r="B8" s="10"/>
      <c r="C8" s="62"/>
    </row>
    <row r="9" customFormat="false" ht="21.75" hidden="false" customHeight="true" outlineLevel="0" collapsed="false">
      <c r="B9" s="63" t="s">
        <v>83</v>
      </c>
      <c r="C9" s="64" t="n">
        <f aca="false">C4-C8</f>
        <v>0</v>
      </c>
    </row>
    <row r="10" customFormat="false" ht="21.75" hidden="false" customHeight="true" outlineLevel="0" collapsed="false">
      <c r="B10" s="63" t="s">
        <v>84</v>
      </c>
      <c r="C10" s="65" t="n">
        <f aca="false">IFERROR(C10/C4,0)</f>
        <v>0</v>
      </c>
    </row>
    <row r="11" customFormat="false" ht="21.75" hidden="false" customHeight="true" outlineLevel="0" collapsed="false">
      <c r="B11" s="13"/>
      <c r="C11" s="61"/>
    </row>
    <row r="12" customFormat="false" ht="21.75" hidden="false" customHeight="true" outlineLevel="0" collapsed="false">
      <c r="B12" s="59" t="s">
        <v>85</v>
      </c>
      <c r="C12" s="60"/>
    </row>
    <row r="13" customFormat="false" ht="21.75" hidden="false" customHeight="true" outlineLevel="0" collapsed="false">
      <c r="B13" s="13" t="s">
        <v>86</v>
      </c>
      <c r="C13" s="17" t="n">
        <f aca="false">SUM('💸 EXPENSES'!E3:E502)</f>
        <v>0</v>
      </c>
    </row>
    <row r="14" customFormat="false" ht="21.75" hidden="false" customHeight="true" outlineLevel="0" collapsed="false">
      <c r="B14" s="10"/>
      <c r="C14" s="62"/>
    </row>
    <row r="15" customFormat="false" ht="21.75" hidden="false" customHeight="true" outlineLevel="0" collapsed="false">
      <c r="B15" s="66" t="s">
        <v>87</v>
      </c>
      <c r="C15" s="67" t="n">
        <f aca="false">C10-C14</f>
        <v>0</v>
      </c>
    </row>
    <row r="16" customFormat="false" ht="21.75" hidden="false" customHeight="true" outlineLevel="0" collapsed="false">
      <c r="B16" s="66" t="s">
        <v>88</v>
      </c>
      <c r="C16" s="68" t="n">
        <f aca="false">IFERROR(C16/C4,0)</f>
        <v>0</v>
      </c>
    </row>
  </sheetData>
  <mergeCells count="2">
    <mergeCell ref="B1:D1"/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60"/>
    <col collapsed="false" customWidth="true" hidden="false" outlineLevel="0" max="4" min="4" style="1" width="4"/>
  </cols>
  <sheetData>
    <row r="1" customFormat="false" ht="31.5" hidden="false" customHeight="true" outlineLevel="0" collapsed="false">
      <c r="B1" s="21" t="s">
        <v>89</v>
      </c>
      <c r="C1" s="21"/>
    </row>
    <row r="2" customFormat="false" ht="24" hidden="false" customHeight="true" outlineLevel="0" collapsed="false">
      <c r="B2" s="69" t="s">
        <v>90</v>
      </c>
      <c r="C2" s="69" t="s">
        <v>91</v>
      </c>
    </row>
    <row r="3" customFormat="false" ht="39.75" hidden="false" customHeight="true" outlineLevel="0" collapsed="false">
      <c r="B3" s="70" t="s">
        <v>92</v>
      </c>
      <c r="C3" s="71" t="s">
        <v>93</v>
      </c>
    </row>
    <row r="4" customFormat="false" ht="39.75" hidden="false" customHeight="true" outlineLevel="0" collapsed="false">
      <c r="B4" s="70" t="s">
        <v>94</v>
      </c>
      <c r="C4" s="72" t="s">
        <v>95</v>
      </c>
    </row>
    <row r="5" customFormat="false" ht="39.75" hidden="false" customHeight="true" outlineLevel="0" collapsed="false">
      <c r="B5" s="70" t="s">
        <v>96</v>
      </c>
      <c r="C5" s="71" t="s">
        <v>97</v>
      </c>
    </row>
    <row r="6" customFormat="false" ht="39.75" hidden="false" customHeight="true" outlineLevel="0" collapsed="false">
      <c r="B6" s="70" t="s">
        <v>98</v>
      </c>
      <c r="C6" s="72" t="s">
        <v>99</v>
      </c>
    </row>
    <row r="7" customFormat="false" ht="39.75" hidden="false" customHeight="true" outlineLevel="0" collapsed="false">
      <c r="B7" s="70" t="s">
        <v>100</v>
      </c>
      <c r="C7" s="71" t="s">
        <v>101</v>
      </c>
    </row>
    <row r="8" customFormat="false" ht="39.75" hidden="false" customHeight="true" outlineLevel="0" collapsed="false">
      <c r="B8" s="70" t="s">
        <v>102</v>
      </c>
      <c r="C8" s="72" t="s">
        <v>103</v>
      </c>
    </row>
    <row r="9" customFormat="false" ht="39.75" hidden="false" customHeight="true" outlineLevel="0" collapsed="false">
      <c r="B9" s="70"/>
      <c r="C9" s="71"/>
    </row>
    <row r="10" customFormat="false" ht="24" hidden="false" customHeight="true" outlineLevel="0" collapsed="false">
      <c r="B10" s="69" t="s">
        <v>104</v>
      </c>
      <c r="C10" s="69" t="s">
        <v>105</v>
      </c>
    </row>
    <row r="11" customFormat="false" ht="39.75" hidden="false" customHeight="true" outlineLevel="0" collapsed="false">
      <c r="B11" s="70" t="s">
        <v>106</v>
      </c>
      <c r="C11" s="71" t="s">
        <v>107</v>
      </c>
    </row>
    <row r="12" customFormat="false" ht="39.75" hidden="false" customHeight="true" outlineLevel="0" collapsed="false">
      <c r="B12" s="70" t="s">
        <v>108</v>
      </c>
      <c r="C12" s="72" t="s">
        <v>109</v>
      </c>
    </row>
    <row r="13" customFormat="false" ht="39.75" hidden="false" customHeight="true" outlineLevel="0" collapsed="false">
      <c r="B13" s="70" t="s">
        <v>110</v>
      </c>
      <c r="C13" s="71" t="s">
        <v>111</v>
      </c>
    </row>
    <row r="14" customFormat="false" ht="39.75" hidden="false" customHeight="true" outlineLevel="0" collapsed="false">
      <c r="B14" s="70" t="s">
        <v>112</v>
      </c>
      <c r="C14" s="72" t="s">
        <v>113</v>
      </c>
    </row>
    <row r="15" customFormat="false" ht="39.75" hidden="false" customHeight="true" outlineLevel="0" collapsed="false">
      <c r="B15" s="70" t="s">
        <v>114</v>
      </c>
      <c r="C15" s="71" t="s">
        <v>115</v>
      </c>
    </row>
    <row r="16" customFormat="false" ht="39.75" hidden="false" customHeight="true" outlineLevel="0" collapsed="false">
      <c r="B16" s="70"/>
      <c r="C16" s="72"/>
    </row>
    <row r="17" customFormat="false" ht="24" hidden="false" customHeight="true" outlineLevel="0" collapsed="false">
      <c r="B17" s="69" t="s">
        <v>116</v>
      </c>
      <c r="C17" s="69" t="s">
        <v>117</v>
      </c>
    </row>
    <row r="18" customFormat="false" ht="39.75" hidden="false" customHeight="true" outlineLevel="0" collapsed="false">
      <c r="B18" s="70" t="s">
        <v>118</v>
      </c>
      <c r="C18" s="72" t="s">
        <v>119</v>
      </c>
    </row>
    <row r="19" customFormat="false" ht="39.75" hidden="false" customHeight="true" outlineLevel="0" collapsed="false">
      <c r="B19" s="70" t="s">
        <v>120</v>
      </c>
      <c r="C19" s="71" t="s">
        <v>121</v>
      </c>
    </row>
    <row r="20" customFormat="false" ht="39.75" hidden="false" customHeight="true" outlineLevel="0" collapsed="false">
      <c r="B20" s="70" t="s">
        <v>122</v>
      </c>
      <c r="C20" s="72" t="s">
        <v>123</v>
      </c>
    </row>
    <row r="21" customFormat="false" ht="39.75" hidden="false" customHeight="true" outlineLevel="0" collapsed="false">
      <c r="B21" s="70" t="s">
        <v>124</v>
      </c>
      <c r="C21" s="71" t="s">
        <v>125</v>
      </c>
    </row>
    <row r="22" customFormat="false" ht="39.75" hidden="false" customHeight="true" outlineLevel="0" collapsed="false">
      <c r="B22" s="70" t="s">
        <v>126</v>
      </c>
      <c r="C22" s="72" t="s">
        <v>127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2026-03-08T13:32:48Z</dcterms:created>
  <dc:creator>openpyxl</dc:creator>
  <dc:description/>
  <dc:language>en-US</dc:language>
  <cp:lastModifiedBy/>
  <dcterms:modified xsi:type="dcterms:W3CDTF">2026-03-08T13:33:24Z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